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0F9795DC-D2FF-49AE-9341-2486A0D64089}" xr6:coauthVersionLast="47" xr6:coauthVersionMax="47" xr10:uidLastSave="{00000000-0000-0000-0000-000000000000}"/>
  <bookViews>
    <workbookView xWindow="-108" yWindow="-108" windowWidth="23256" windowHeight="12456" tabRatio="791" activeTab="4" xr2:uid="{00000000-000D-0000-FFFF-FFFF00000000}"/>
  </bookViews>
  <sheets>
    <sheet name="About" sheetId="22" r:id="rId1"/>
    <sheet name="Instructions" sheetId="4" r:id="rId2"/>
    <sheet name="Setup" sheetId="6" r:id="rId3"/>
    <sheet name="Classes" sheetId="9" r:id="rId4"/>
    <sheet name="TB" sheetId="7" r:id="rId5"/>
    <sheet name="Sheet1" sheetId="24" r:id="rId6"/>
    <sheet name="IS" sheetId="13" r:id="rId7"/>
    <sheet name="CFS" sheetId="14" r:id="rId8"/>
    <sheet name="BS" sheetId="15" r:id="rId9"/>
    <sheet name="DB" sheetId="23" r:id="rId10"/>
    <sheet name="TBCheck" sheetId="19" r:id="rId11"/>
  </sheets>
  <definedNames>
    <definedName name="_xlnm._FilterDatabase" localSheetId="8" hidden="1">BS!$A$4:$B$4</definedName>
    <definedName name="_xlnm._FilterDatabase" localSheetId="7" hidden="1">CFS!$A$4:$B$4</definedName>
    <definedName name="_xlnm._FilterDatabase" localSheetId="6" hidden="1">IS!$A$4:$B$4</definedName>
    <definedName name="_xlnm._FilterDatabase" localSheetId="4" hidden="1">TB!$B$4:$H$67</definedName>
    <definedName name="BalRowNo">BS!$B$1:$B$57</definedName>
    <definedName name="BSCode">OFFSET(BS!$A$4,1,0,ROW(BS!$A$44)-ROW(BS!$A$4),1)</definedName>
    <definedName name="CfsRowNo">CFS!$B$1:$B$50</definedName>
    <definedName name="CheckRowCount">COUNTA(OFFSET(TBCheck!$C$4,1,0,Records,1))</definedName>
    <definedName name="ClassAll">OFFSET(Classes!$A$4,1,0,ClassCount,COLUMN(Classes!D$4))</definedName>
    <definedName name="ClassCode">OFFSET(Classes!$A$4,1,0,ClassCount,1)</definedName>
    <definedName name="ClassCount">ROW(Classes!$A$66)-ROW(Classes!$A$4)</definedName>
    <definedName name="ClassError">OFFSET(Classes!$C$4,1,0,ClassCount,1)</definedName>
    <definedName name="ExpenseAll">OFFSET(IS!$B$10,1,0,ROW(IS!$B$34)-ROW(IS!$B$10)-1,5)</definedName>
    <definedName name="ExpenseCY">OFFSET(IS!$B$10,1,1,ROW(IS!$B$34)-ROW(IS!$B$10)-1,1)</definedName>
    <definedName name="ExpenseList">OFFSET(IS!$B$10,1,0,ROW(IS!$B$34)-ROW(IS!$B$10)-1,1)</definedName>
    <definedName name="IncRowNo">IS!$B$1:$B$45</definedName>
    <definedName name="ISCode">OFFSET(IS!$A$4,1,0,ROW(IS!$A$41)-ROW(IS!$A$4),1)</definedName>
    <definedName name="MonthNames">Setup!$B$13:$B$24</definedName>
    <definedName name="_xlnm.Print_Area" localSheetId="8">BS!$B$1:$J$51</definedName>
    <definedName name="_xlnm.Print_Area" localSheetId="7">CFS!$B$1:$J$44</definedName>
    <definedName name="_xlnm.Print_Area" localSheetId="9">DB!$A$1:$L$52</definedName>
    <definedName name="_xlnm.Print_Area" localSheetId="6">IS!$B$1:$J$45</definedName>
    <definedName name="_xlnm.Print_Titles" localSheetId="8">BS!$1:$4</definedName>
    <definedName name="_xlnm.Print_Titles" localSheetId="7">CFS!$1:$4</definedName>
    <definedName name="_xlnm.Print_Titles" localSheetId="1">Instructions!$1:$4</definedName>
    <definedName name="_xlnm.Print_Titles" localSheetId="6">IS!$1:$4</definedName>
    <definedName name="_xlnm.Print_Titles" localSheetId="4">TB!$1:$4</definedName>
    <definedName name="_xlnm.Print_Titles" localSheetId="10">TBCheck!$1:$4</definedName>
    <definedName name="Records">1000</definedName>
    <definedName name="TBAll">OFFSET(TB!$B$4,1,0,TBRowCount,COLUMN(TB!C$4)+TBColCount)</definedName>
    <definedName name="TBClass">OFFSET(TB!$B$4,1,0,TBRowCount,1)</definedName>
    <definedName name="TBColCount">COUNTA(OFFSET(TB!$D$4,0,1,1,100))</definedName>
    <definedName name="TBMonths">OFFSET(TB!$D$4,0,1,1,TBColCount)</definedName>
    <definedName name="TBRowCount">COUNTA(OFFSET(TB!$C$4,1,0,Records,1))</definedName>
    <definedName name="TBStatus">OFFSET(TB!$A$4,1,0,TBRowCount,1)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 i="24" l="1"/>
  <c r="C8" i="24" s="1"/>
  <c r="C11" i="24" s="1"/>
  <c r="C14" i="24" s="1"/>
  <c r="C17" i="24" s="1"/>
  <c r="C6" i="24"/>
  <c r="C9" i="24" s="1"/>
  <c r="C12" i="24" s="1"/>
  <c r="C15" i="24" s="1"/>
  <c r="C18" i="24" s="1"/>
  <c r="C10" i="24"/>
  <c r="C13" i="24" s="1"/>
  <c r="C16" i="24" s="1"/>
  <c r="C19" i="24" s="1"/>
  <c r="C25" i="24"/>
  <c r="C51" i="24" s="1"/>
  <c r="C73" i="24" s="1"/>
  <c r="C95" i="24" s="1"/>
  <c r="C117" i="24" s="1"/>
  <c r="C26" i="24"/>
  <c r="C31" i="24" s="1"/>
  <c r="C27" i="24"/>
  <c r="C32" i="24" s="1"/>
  <c r="C58" i="24" s="1"/>
  <c r="C80" i="24" s="1"/>
  <c r="C29" i="24"/>
  <c r="C34" i="24" s="1"/>
  <c r="C60" i="24" s="1"/>
  <c r="C82" i="24" s="1"/>
  <c r="C104" i="24" s="1"/>
  <c r="C127" i="24" s="1"/>
  <c r="C33" i="24"/>
  <c r="C59" i="24" s="1"/>
  <c r="C81" i="24" s="1"/>
  <c r="C103" i="24" s="1"/>
  <c r="C126" i="24" s="1"/>
  <c r="C35" i="24"/>
  <c r="C61" i="24" s="1"/>
  <c r="C83" i="24" s="1"/>
  <c r="C105" i="24" s="1"/>
  <c r="C128" i="24" s="1"/>
  <c r="C46" i="24"/>
  <c r="C68" i="24" s="1"/>
  <c r="C90" i="24" s="1"/>
  <c r="C112" i="24" s="1"/>
  <c r="C135" i="24" s="1"/>
  <c r="C47" i="24"/>
  <c r="C69" i="24" s="1"/>
  <c r="C91" i="24" s="1"/>
  <c r="C113" i="24" s="1"/>
  <c r="C136" i="24" s="1"/>
  <c r="C48" i="24"/>
  <c r="C70" i="24" s="1"/>
  <c r="C92" i="24" s="1"/>
  <c r="C114" i="24" s="1"/>
  <c r="C137" i="24" s="1"/>
  <c r="C336" i="24" s="1"/>
  <c r="C535" i="24" s="1"/>
  <c r="C49" i="24"/>
  <c r="C71" i="24" s="1"/>
  <c r="C93" i="24" s="1"/>
  <c r="C115" i="24" s="1"/>
  <c r="C138" i="24" s="1"/>
  <c r="C337" i="24" s="1"/>
  <c r="C536" i="24" s="1"/>
  <c r="C50" i="24"/>
  <c r="C72" i="24" s="1"/>
  <c r="C94" i="24" s="1"/>
  <c r="C116" i="24" s="1"/>
  <c r="C139" i="24" s="1"/>
  <c r="C162" i="24" s="1"/>
  <c r="C184" i="24" s="1"/>
  <c r="C54" i="24"/>
  <c r="C76" i="24" s="1"/>
  <c r="C98" i="24" s="1"/>
  <c r="C120" i="24" s="1"/>
  <c r="C56" i="24"/>
  <c r="C78" i="24" s="1"/>
  <c r="C100" i="24" s="1"/>
  <c r="C123" i="24" s="1"/>
  <c r="C63" i="24"/>
  <c r="C85" i="24" s="1"/>
  <c r="C107" i="24" s="1"/>
  <c r="C130" i="24" s="1"/>
  <c r="C329" i="24" s="1"/>
  <c r="C528" i="24" s="1"/>
  <c r="C64" i="24"/>
  <c r="C86" i="24" s="1"/>
  <c r="C108" i="24" s="1"/>
  <c r="C131" i="24" s="1"/>
  <c r="C330" i="24" s="1"/>
  <c r="C529" i="24" s="1"/>
  <c r="C65" i="24"/>
  <c r="C87" i="24" s="1"/>
  <c r="C109" i="24" s="1"/>
  <c r="C132" i="24" s="1"/>
  <c r="C66" i="24"/>
  <c r="C88" i="24" s="1"/>
  <c r="C110" i="24" s="1"/>
  <c r="C133" i="24" s="1"/>
  <c r="C89" i="24"/>
  <c r="C111" i="24" s="1"/>
  <c r="C134" i="24" s="1"/>
  <c r="C750" i="24"/>
  <c r="E715" i="24"/>
  <c r="E716" i="24" s="1"/>
  <c r="E717" i="24" s="1"/>
  <c r="E718" i="24" s="1"/>
  <c r="E719" i="24" s="1"/>
  <c r="E720" i="24" s="1"/>
  <c r="E721" i="24" s="1"/>
  <c r="E722" i="24" s="1"/>
  <c r="E723" i="24" s="1"/>
  <c r="E724" i="24" s="1"/>
  <c r="E725" i="24" s="1"/>
  <c r="E726" i="24" s="1"/>
  <c r="E727" i="24" s="1"/>
  <c r="E728" i="24" s="1"/>
  <c r="E729" i="24" s="1"/>
  <c r="E730" i="24" s="1"/>
  <c r="E731" i="24" s="1"/>
  <c r="E732" i="24" s="1"/>
  <c r="E733" i="24" s="1"/>
  <c r="E734" i="24" s="1"/>
  <c r="E735" i="24" s="1"/>
  <c r="E736" i="24" s="1"/>
  <c r="E737" i="24" s="1"/>
  <c r="E738" i="24" s="1"/>
  <c r="E739" i="24" s="1"/>
  <c r="E740" i="24" s="1"/>
  <c r="E741" i="24" s="1"/>
  <c r="E742" i="24" s="1"/>
  <c r="E743" i="24" s="1"/>
  <c r="E744" i="24" s="1"/>
  <c r="E745" i="24" s="1"/>
  <c r="E746" i="24" s="1"/>
  <c r="E747" i="24" s="1"/>
  <c r="E748" i="24" s="1"/>
  <c r="E749" i="24" s="1"/>
  <c r="E750" i="24" s="1"/>
  <c r="E751" i="24" s="1"/>
  <c r="E752" i="24" s="1"/>
  <c r="E753" i="24" s="1"/>
  <c r="E754" i="24" s="1"/>
  <c r="E755" i="24" s="1"/>
  <c r="E756" i="24" s="1"/>
  <c r="E757" i="24" s="1"/>
  <c r="E758" i="24" s="1"/>
  <c r="E759" i="24" s="1"/>
  <c r="E760" i="24" s="1"/>
  <c r="E761" i="24" s="1"/>
  <c r="E762" i="24" s="1"/>
  <c r="E763" i="24" s="1"/>
  <c r="E764" i="24" s="1"/>
  <c r="E765" i="24" s="1"/>
  <c r="E766" i="24" s="1"/>
  <c r="E767" i="24" s="1"/>
  <c r="E768" i="24" s="1"/>
  <c r="E769" i="24" s="1"/>
  <c r="E770" i="24" s="1"/>
  <c r="E771" i="24" s="1"/>
  <c r="E772" i="24" s="1"/>
  <c r="E773" i="24" s="1"/>
  <c r="E774" i="24" s="1"/>
  <c r="E775" i="24" s="1"/>
  <c r="E776" i="24" s="1"/>
  <c r="E777" i="24" s="1"/>
  <c r="E778" i="24" s="1"/>
  <c r="E779" i="24" s="1"/>
  <c r="E780" i="24" s="1"/>
  <c r="E781" i="24" s="1"/>
  <c r="E782" i="24" s="1"/>
  <c r="E783" i="24" s="1"/>
  <c r="E784" i="24" s="1"/>
  <c r="E785" i="24" s="1"/>
  <c r="E786" i="24" s="1"/>
  <c r="E787" i="24" s="1"/>
  <c r="E788" i="24" s="1"/>
  <c r="E789" i="24" s="1"/>
  <c r="E790" i="24" s="1"/>
  <c r="E791" i="24" s="1"/>
  <c r="E792" i="24" s="1"/>
  <c r="E793" i="24" s="1"/>
  <c r="E794" i="24" s="1"/>
  <c r="E795" i="24" s="1"/>
  <c r="E796" i="24" s="1"/>
  <c r="E797" i="24" s="1"/>
  <c r="E798" i="24" s="1"/>
  <c r="E799" i="24" s="1"/>
  <c r="E800" i="24" s="1"/>
  <c r="E801" i="24" s="1"/>
  <c r="E802" i="24" s="1"/>
  <c r="E803" i="24" s="1"/>
  <c r="E804" i="24" s="1"/>
  <c r="E805" i="24" s="1"/>
  <c r="E806" i="24" s="1"/>
  <c r="E807" i="24" s="1"/>
  <c r="E808" i="24" s="1"/>
  <c r="E809" i="24" s="1"/>
  <c r="E810" i="24" s="1"/>
  <c r="E811" i="24" s="1"/>
  <c r="E812" i="24" s="1"/>
  <c r="E813" i="24" s="1"/>
  <c r="E814" i="24" s="1"/>
  <c r="E815" i="24" s="1"/>
  <c r="E816" i="24" s="1"/>
  <c r="E817" i="24" s="1"/>
  <c r="E818" i="24" s="1"/>
  <c r="E819" i="24" s="1"/>
  <c r="E820" i="24" s="1"/>
  <c r="E821" i="24" s="1"/>
  <c r="E822" i="24" s="1"/>
  <c r="E823" i="24" s="1"/>
  <c r="E824" i="24" s="1"/>
  <c r="E825" i="24" s="1"/>
  <c r="E826" i="24" s="1"/>
  <c r="E827" i="24" s="1"/>
  <c r="E828" i="24" s="1"/>
  <c r="E829" i="24" s="1"/>
  <c r="E830" i="24" s="1"/>
  <c r="E831" i="24" s="1"/>
  <c r="E832" i="24" s="1"/>
  <c r="E833" i="24" s="1"/>
  <c r="E834" i="24" s="1"/>
  <c r="E835" i="24" s="1"/>
  <c r="E836" i="24" s="1"/>
  <c r="E837" i="24" s="1"/>
  <c r="E838" i="24" s="1"/>
  <c r="E839" i="24" s="1"/>
  <c r="E840" i="24" s="1"/>
  <c r="E841" i="24" s="1"/>
  <c r="E842" i="24" s="1"/>
  <c r="E843" i="24" s="1"/>
  <c r="E844" i="24" s="1"/>
  <c r="E845" i="24" s="1"/>
  <c r="E846" i="24" s="1"/>
  <c r="E847" i="24" s="1"/>
  <c r="E848" i="24" s="1"/>
  <c r="E849" i="24" s="1"/>
  <c r="E850" i="24" s="1"/>
  <c r="E851" i="24" s="1"/>
  <c r="E852" i="24" s="1"/>
  <c r="E853" i="24" s="1"/>
  <c r="E854" i="24" s="1"/>
  <c r="E855" i="24" s="1"/>
  <c r="E856" i="24" s="1"/>
  <c r="E857" i="24" s="1"/>
  <c r="E858" i="24" s="1"/>
  <c r="E859" i="24" s="1"/>
  <c r="E860" i="24" s="1"/>
  <c r="E861" i="24" s="1"/>
  <c r="E862" i="24" s="1"/>
  <c r="E863" i="24" s="1"/>
  <c r="E864" i="24" s="1"/>
  <c r="E865" i="24" s="1"/>
  <c r="E866" i="24" s="1"/>
  <c r="E867" i="24" s="1"/>
  <c r="E868" i="24" s="1"/>
  <c r="E869" i="24" s="1"/>
  <c r="E870" i="24" s="1"/>
  <c r="E871" i="24" s="1"/>
  <c r="E872" i="24" s="1"/>
  <c r="E873" i="24" s="1"/>
  <c r="E874" i="24" s="1"/>
  <c r="E875" i="24" s="1"/>
  <c r="E876" i="24" s="1"/>
  <c r="E877" i="24" s="1"/>
  <c r="E878" i="24" s="1"/>
  <c r="E879" i="24" s="1"/>
  <c r="E880" i="24" s="1"/>
  <c r="E881" i="24" s="1"/>
  <c r="E882" i="24" s="1"/>
  <c r="E883" i="24" s="1"/>
  <c r="E884" i="24" s="1"/>
  <c r="E885" i="24" s="1"/>
  <c r="E886" i="24" s="1"/>
  <c r="E887" i="24" s="1"/>
  <c r="E888" i="24" s="1"/>
  <c r="E889" i="24" s="1"/>
  <c r="E890" i="24" s="1"/>
  <c r="E891" i="24" s="1"/>
  <c r="E892" i="24" s="1"/>
  <c r="E893" i="24" s="1"/>
  <c r="E894" i="24" s="1"/>
  <c r="E895" i="24" s="1"/>
  <c r="E896" i="24" s="1"/>
  <c r="E897" i="24" s="1"/>
  <c r="E898" i="24" s="1"/>
  <c r="E899" i="24" s="1"/>
  <c r="E900" i="24" s="1"/>
  <c r="E901" i="24" s="1"/>
  <c r="E902" i="24" s="1"/>
  <c r="E903" i="24" s="1"/>
  <c r="E904" i="24" s="1"/>
  <c r="E905" i="24" s="1"/>
  <c r="E906" i="24" s="1"/>
  <c r="E907" i="24" s="1"/>
  <c r="E908" i="24" s="1"/>
  <c r="E909" i="24" s="1"/>
  <c r="E910" i="24" s="1"/>
  <c r="E911" i="24" s="1"/>
  <c r="E912" i="24" s="1"/>
  <c r="E913" i="24" s="1"/>
  <c r="E914" i="24" s="1"/>
  <c r="E915" i="24" s="1"/>
  <c r="E916" i="24" s="1"/>
  <c r="E917" i="24" s="1"/>
  <c r="E918" i="24" s="1"/>
  <c r="E919" i="24" s="1"/>
  <c r="E920" i="24" s="1"/>
  <c r="E921" i="24" s="1"/>
  <c r="E922" i="24" s="1"/>
  <c r="E923" i="24" s="1"/>
  <c r="E924" i="24" s="1"/>
  <c r="E925" i="24" s="1"/>
  <c r="E926" i="24" s="1"/>
  <c r="E927" i="24" s="1"/>
  <c r="E928" i="24" s="1"/>
  <c r="E929" i="24" s="1"/>
  <c r="E930" i="24" s="1"/>
  <c r="E931" i="24" s="1"/>
  <c r="E932" i="24" s="1"/>
  <c r="E933" i="24" s="1"/>
  <c r="E934" i="24" s="1"/>
  <c r="E935" i="24" s="1"/>
  <c r="E936" i="24" s="1"/>
  <c r="E937" i="24" s="1"/>
  <c r="E938" i="24" s="1"/>
  <c r="E939" i="24" s="1"/>
  <c r="E940" i="24" s="1"/>
  <c r="E941" i="24" s="1"/>
  <c r="E942" i="24" s="1"/>
  <c r="E943" i="24" s="1"/>
  <c r="E944" i="24" s="1"/>
  <c r="E945" i="24" s="1"/>
  <c r="E946" i="24" s="1"/>
  <c r="E947" i="24" s="1"/>
  <c r="E948" i="24" s="1"/>
  <c r="E949" i="24" s="1"/>
  <c r="E950" i="24" s="1"/>
  <c r="E951" i="24" s="1"/>
  <c r="E952" i="24" s="1"/>
  <c r="E953" i="24" s="1"/>
  <c r="E954" i="24" s="1"/>
  <c r="E955" i="24" s="1"/>
  <c r="E956" i="24" s="1"/>
  <c r="E957" i="24" s="1"/>
  <c r="E958" i="24" s="1"/>
  <c r="E959" i="24" s="1"/>
  <c r="E960" i="24" s="1"/>
  <c r="E961" i="24" s="1"/>
  <c r="E962" i="24" s="1"/>
  <c r="E963" i="24" s="1"/>
  <c r="E964" i="24" s="1"/>
  <c r="E965" i="24" s="1"/>
  <c r="E966" i="24" s="1"/>
  <c r="E967" i="24" s="1"/>
  <c r="E968" i="24" s="1"/>
  <c r="E969" i="24" s="1"/>
  <c r="E970" i="24" s="1"/>
  <c r="E971" i="24" s="1"/>
  <c r="E972" i="24" s="1"/>
  <c r="E973" i="24" s="1"/>
  <c r="E974" i="24" s="1"/>
  <c r="E975" i="24" s="1"/>
  <c r="E976" i="24" s="1"/>
  <c r="E977" i="24" s="1"/>
  <c r="E978" i="24" s="1"/>
  <c r="E979" i="24" s="1"/>
  <c r="E980" i="24" s="1"/>
  <c r="E981" i="24" s="1"/>
  <c r="E982" i="24" s="1"/>
  <c r="E983" i="24" s="1"/>
  <c r="E984" i="24" s="1"/>
  <c r="E985" i="24" s="1"/>
  <c r="E986" i="24" s="1"/>
  <c r="E987" i="24" s="1"/>
  <c r="E988" i="24" s="1"/>
  <c r="E989" i="24" s="1"/>
  <c r="E990" i="24" s="1"/>
  <c r="E991" i="24" s="1"/>
  <c r="E992" i="24" s="1"/>
  <c r="E993" i="24" s="1"/>
  <c r="E994" i="24" s="1"/>
  <c r="E995" i="24" s="1"/>
  <c r="E996" i="24" s="1"/>
  <c r="E997" i="24" s="1"/>
  <c r="E998" i="24" s="1"/>
  <c r="E999" i="24" s="1"/>
  <c r="E1000" i="24" s="1"/>
  <c r="E1001" i="24" s="1"/>
  <c r="E1002" i="24" s="1"/>
  <c r="E1003" i="24" s="1"/>
  <c r="E1004" i="24" s="1"/>
  <c r="E1005" i="24" s="1"/>
  <c r="E1006" i="24" s="1"/>
  <c r="E1007" i="24" s="1"/>
  <c r="E1008" i="24" s="1"/>
  <c r="E1009" i="24" s="1"/>
  <c r="E1010" i="24" s="1"/>
  <c r="E1011" i="24" s="1"/>
  <c r="E1012" i="24" s="1"/>
  <c r="E1013" i="24" s="1"/>
  <c r="E1014" i="24" s="1"/>
  <c r="E1015" i="24" s="1"/>
  <c r="E1016" i="24" s="1"/>
  <c r="E1017" i="24" s="1"/>
  <c r="E1018" i="24" s="1"/>
  <c r="E13" i="24"/>
  <c r="E23" i="24" s="1"/>
  <c r="E33" i="24" s="1"/>
  <c r="E43" i="24" s="1"/>
  <c r="E53" i="24" s="1"/>
  <c r="E63" i="24" s="1"/>
  <c r="E73" i="24" s="1"/>
  <c r="E83" i="24" s="1"/>
  <c r="E93" i="24" s="1"/>
  <c r="E103" i="24" s="1"/>
  <c r="E113" i="24" s="1"/>
  <c r="E123" i="24" s="1"/>
  <c r="E133" i="24" s="1"/>
  <c r="E143" i="24" s="1"/>
  <c r="E153" i="24" s="1"/>
  <c r="E163" i="24" s="1"/>
  <c r="E173" i="24" s="1"/>
  <c r="E183" i="24" s="1"/>
  <c r="E4" i="24"/>
  <c r="E5" i="24" s="1"/>
  <c r="D313" i="24"/>
  <c r="D314" i="24"/>
  <c r="D315" i="24"/>
  <c r="D316" i="24"/>
  <c r="D317" i="24"/>
  <c r="D318" i="24"/>
  <c r="D319" i="24"/>
  <c r="D320" i="24"/>
  <c r="D321" i="24"/>
  <c r="D322" i="24"/>
  <c r="D323" i="24"/>
  <c r="D324" i="24"/>
  <c r="D325" i="24"/>
  <c r="D326" i="24"/>
  <c r="D327" i="24"/>
  <c r="D328" i="24"/>
  <c r="D329" i="24"/>
  <c r="D330" i="24"/>
  <c r="D331" i="24"/>
  <c r="D332" i="24"/>
  <c r="D333" i="24"/>
  <c r="D334" i="24"/>
  <c r="D335" i="24"/>
  <c r="D336" i="24"/>
  <c r="D337" i="24"/>
  <c r="D338" i="24"/>
  <c r="D339" i="24"/>
  <c r="D340" i="24"/>
  <c r="D341" i="24"/>
  <c r="D342" i="24"/>
  <c r="D343" i="24"/>
  <c r="D344" i="24"/>
  <c r="D345" i="24"/>
  <c r="D346" i="24"/>
  <c r="D347" i="24"/>
  <c r="D348" i="24"/>
  <c r="D349" i="24"/>
  <c r="D350" i="24"/>
  <c r="D351" i="24"/>
  <c r="D352" i="24"/>
  <c r="D353" i="24"/>
  <c r="D354" i="24"/>
  <c r="D355" i="24"/>
  <c r="D356" i="24"/>
  <c r="D357" i="24"/>
  <c r="D358" i="24"/>
  <c r="D359" i="24"/>
  <c r="D360" i="24"/>
  <c r="D361" i="24"/>
  <c r="D362" i="24"/>
  <c r="D363" i="24"/>
  <c r="D364" i="24"/>
  <c r="D365" i="24"/>
  <c r="D366" i="24"/>
  <c r="D367" i="24"/>
  <c r="D368" i="24"/>
  <c r="D369" i="24"/>
  <c r="D370" i="24"/>
  <c r="D371" i="24"/>
  <c r="D372" i="24"/>
  <c r="D373" i="24"/>
  <c r="D374" i="24"/>
  <c r="D375" i="24"/>
  <c r="D376" i="24"/>
  <c r="D377" i="24"/>
  <c r="D378" i="24"/>
  <c r="D379" i="24"/>
  <c r="D380" i="24"/>
  <c r="D381" i="24"/>
  <c r="D382" i="24"/>
  <c r="D383" i="24"/>
  <c r="D384" i="24"/>
  <c r="D385" i="24"/>
  <c r="D386" i="24"/>
  <c r="D387" i="24"/>
  <c r="D388" i="24"/>
  <c r="D389" i="24"/>
  <c r="D390" i="24"/>
  <c r="D391" i="24"/>
  <c r="D392" i="24"/>
  <c r="D393" i="24"/>
  <c r="D394" i="24"/>
  <c r="D395" i="24"/>
  <c r="D396" i="24"/>
  <c r="D397" i="24"/>
  <c r="D398" i="24"/>
  <c r="D399" i="24"/>
  <c r="D400" i="24"/>
  <c r="D401" i="24"/>
  <c r="D402" i="24"/>
  <c r="D403" i="24"/>
  <c r="D404" i="24"/>
  <c r="D405" i="24"/>
  <c r="D406" i="24"/>
  <c r="D407" i="24"/>
  <c r="D408" i="24"/>
  <c r="D409" i="24"/>
  <c r="D410" i="24"/>
  <c r="D411" i="24"/>
  <c r="D412" i="24"/>
  <c r="D413" i="24"/>
  <c r="D414" i="24"/>
  <c r="D415" i="24"/>
  <c r="D416" i="24"/>
  <c r="D417" i="24"/>
  <c r="D418" i="24"/>
  <c r="D419" i="24"/>
  <c r="D420" i="24"/>
  <c r="D421" i="24"/>
  <c r="D422" i="24"/>
  <c r="D423" i="24"/>
  <c r="D424" i="24"/>
  <c r="D425" i="24"/>
  <c r="D426" i="24"/>
  <c r="D427" i="24"/>
  <c r="D428" i="24"/>
  <c r="D429" i="24"/>
  <c r="D430" i="24"/>
  <c r="D431" i="24"/>
  <c r="D432" i="24"/>
  <c r="D433" i="24"/>
  <c r="D434" i="24"/>
  <c r="D435" i="24"/>
  <c r="D436" i="24"/>
  <c r="D437" i="24"/>
  <c r="D438" i="24"/>
  <c r="D439" i="24"/>
  <c r="D440" i="24"/>
  <c r="D441" i="24"/>
  <c r="D442" i="24"/>
  <c r="D443" i="24"/>
  <c r="D444" i="24"/>
  <c r="D445" i="24"/>
  <c r="D446" i="24"/>
  <c r="D447" i="24"/>
  <c r="D448" i="24"/>
  <c r="D449" i="24"/>
  <c r="D450" i="24"/>
  <c r="D451" i="24"/>
  <c r="D452" i="24"/>
  <c r="D453" i="24"/>
  <c r="D454" i="24"/>
  <c r="D455" i="24"/>
  <c r="D456" i="24"/>
  <c r="D457" i="24"/>
  <c r="D458" i="24"/>
  <c r="D459" i="24"/>
  <c r="D460" i="24"/>
  <c r="D461" i="24"/>
  <c r="D462" i="24"/>
  <c r="D463" i="24"/>
  <c r="D464" i="24"/>
  <c r="D465" i="24"/>
  <c r="D466" i="24"/>
  <c r="D467" i="24"/>
  <c r="D468" i="24"/>
  <c r="D469" i="24"/>
  <c r="D470" i="24"/>
  <c r="D471" i="24"/>
  <c r="D472" i="24"/>
  <c r="D473" i="24"/>
  <c r="D474" i="24"/>
  <c r="D475" i="24"/>
  <c r="D476" i="24"/>
  <c r="D477" i="24"/>
  <c r="D478" i="24"/>
  <c r="D479" i="24"/>
  <c r="D480" i="24"/>
  <c r="D481" i="24"/>
  <c r="D482" i="24"/>
  <c r="D483" i="24"/>
  <c r="D484" i="24"/>
  <c r="D485" i="24"/>
  <c r="D486" i="24"/>
  <c r="D487" i="24"/>
  <c r="D488" i="24"/>
  <c r="D489" i="24"/>
  <c r="D490" i="24"/>
  <c r="D491" i="24"/>
  <c r="D492" i="24"/>
  <c r="D493" i="24"/>
  <c r="D494" i="24"/>
  <c r="D495" i="24"/>
  <c r="D496" i="24"/>
  <c r="D497" i="24"/>
  <c r="D498" i="24"/>
  <c r="D499" i="24"/>
  <c r="D500" i="24"/>
  <c r="D501" i="24"/>
  <c r="D502" i="24"/>
  <c r="D503" i="24"/>
  <c r="D504" i="24"/>
  <c r="D505" i="24"/>
  <c r="D506" i="24"/>
  <c r="D507" i="24"/>
  <c r="D508" i="24"/>
  <c r="D509" i="24"/>
  <c r="D510" i="24"/>
  <c r="D511" i="24"/>
  <c r="D512" i="24"/>
  <c r="D513" i="24"/>
  <c r="D514" i="24"/>
  <c r="D515" i="24"/>
  <c r="D516" i="24"/>
  <c r="D517" i="24"/>
  <c r="D518" i="24"/>
  <c r="D519" i="24"/>
  <c r="D520" i="24"/>
  <c r="D521" i="24"/>
  <c r="D522" i="24"/>
  <c r="D523" i="24"/>
  <c r="D524" i="24"/>
  <c r="D525" i="24"/>
  <c r="D526" i="24"/>
  <c r="D527" i="24"/>
  <c r="D528" i="24"/>
  <c r="D529" i="24"/>
  <c r="D530" i="24"/>
  <c r="D531" i="24"/>
  <c r="D532" i="24"/>
  <c r="D533" i="24"/>
  <c r="D534" i="24"/>
  <c r="D535" i="24"/>
  <c r="D536" i="24"/>
  <c r="D537" i="24"/>
  <c r="D538" i="24"/>
  <c r="D539" i="24"/>
  <c r="D540" i="24"/>
  <c r="D541" i="24"/>
  <c r="D542" i="24"/>
  <c r="D543" i="24"/>
  <c r="D544" i="24"/>
  <c r="D545" i="24"/>
  <c r="D546" i="24"/>
  <c r="D547" i="24"/>
  <c r="D548" i="24"/>
  <c r="D549" i="24"/>
  <c r="D550" i="24"/>
  <c r="D551" i="24"/>
  <c r="D552" i="24"/>
  <c r="D553" i="24"/>
  <c r="D554" i="24"/>
  <c r="D555" i="24"/>
  <c r="D556" i="24"/>
  <c r="D557" i="24"/>
  <c r="D558" i="24"/>
  <c r="D559" i="24"/>
  <c r="D560" i="24"/>
  <c r="D561" i="24"/>
  <c r="D562" i="24"/>
  <c r="D563" i="24"/>
  <c r="D564" i="24"/>
  <c r="D565" i="24"/>
  <c r="D566" i="24"/>
  <c r="D567" i="24"/>
  <c r="D568" i="24"/>
  <c r="D569" i="24"/>
  <c r="D570" i="24"/>
  <c r="D571" i="24"/>
  <c r="D572" i="24"/>
  <c r="D573" i="24"/>
  <c r="D574" i="24"/>
  <c r="D575" i="24"/>
  <c r="D576" i="24"/>
  <c r="D577" i="24"/>
  <c r="D578" i="24"/>
  <c r="D579" i="24"/>
  <c r="D580" i="24"/>
  <c r="D581" i="24"/>
  <c r="D582" i="24"/>
  <c r="D583" i="24"/>
  <c r="D584" i="24"/>
  <c r="D585" i="24"/>
  <c r="D586" i="24"/>
  <c r="D587" i="24"/>
  <c r="D588" i="24"/>
  <c r="D589" i="24"/>
  <c r="D590" i="24"/>
  <c r="D591" i="24"/>
  <c r="D592" i="24"/>
  <c r="D593" i="24"/>
  <c r="D594" i="24"/>
  <c r="D595" i="24"/>
  <c r="D596" i="24"/>
  <c r="D597" i="24"/>
  <c r="D598" i="24"/>
  <c r="D599" i="24"/>
  <c r="D600" i="24"/>
  <c r="D601" i="24"/>
  <c r="D602" i="24"/>
  <c r="D603" i="24"/>
  <c r="D604" i="24"/>
  <c r="D605" i="24"/>
  <c r="D606" i="24"/>
  <c r="D607" i="24"/>
  <c r="D608" i="24"/>
  <c r="D609" i="24"/>
  <c r="D610" i="24"/>
  <c r="D611" i="24"/>
  <c r="D612" i="24"/>
  <c r="D613" i="24"/>
  <c r="D614" i="24"/>
  <c r="D615" i="24"/>
  <c r="D616" i="24"/>
  <c r="D617" i="24"/>
  <c r="D618" i="24"/>
  <c r="D619" i="24"/>
  <c r="D620" i="24"/>
  <c r="D621" i="24"/>
  <c r="D622" i="24"/>
  <c r="D623" i="24"/>
  <c r="D624" i="24"/>
  <c r="D625" i="24"/>
  <c r="D626" i="24"/>
  <c r="D627" i="24"/>
  <c r="D628" i="24"/>
  <c r="D629" i="24"/>
  <c r="D630" i="24"/>
  <c r="D631" i="24"/>
  <c r="D632" i="24"/>
  <c r="D633" i="24"/>
  <c r="D634" i="24"/>
  <c r="D635" i="24"/>
  <c r="D636" i="24"/>
  <c r="D637" i="24"/>
  <c r="D638" i="24"/>
  <c r="D639" i="24"/>
  <c r="D640" i="24"/>
  <c r="D641" i="24"/>
  <c r="D642" i="24"/>
  <c r="D643" i="24"/>
  <c r="D644" i="24"/>
  <c r="D645" i="24"/>
  <c r="D646" i="24"/>
  <c r="D647" i="24"/>
  <c r="D648" i="24"/>
  <c r="D649" i="24"/>
  <c r="D650" i="24"/>
  <c r="D651" i="24"/>
  <c r="D652" i="24"/>
  <c r="D653" i="24"/>
  <c r="D654" i="24"/>
  <c r="D655" i="24"/>
  <c r="D656" i="24"/>
  <c r="D657" i="24"/>
  <c r="D658" i="24"/>
  <c r="D659" i="24"/>
  <c r="D660" i="24"/>
  <c r="D661" i="24"/>
  <c r="D662" i="24"/>
  <c r="D663" i="24"/>
  <c r="D664" i="24"/>
  <c r="D665" i="24"/>
  <c r="D666" i="24"/>
  <c r="D667" i="24"/>
  <c r="D668" i="24"/>
  <c r="D669" i="24"/>
  <c r="D670" i="24"/>
  <c r="D671" i="24"/>
  <c r="D672" i="24"/>
  <c r="D673" i="24"/>
  <c r="D674" i="24"/>
  <c r="D675" i="24"/>
  <c r="D676" i="24"/>
  <c r="D677" i="24"/>
  <c r="D678" i="24"/>
  <c r="D679" i="24"/>
  <c r="D680" i="24"/>
  <c r="D681" i="24"/>
  <c r="D682" i="24"/>
  <c r="D683" i="24"/>
  <c r="D684" i="24"/>
  <c r="D685" i="24"/>
  <c r="D686" i="24"/>
  <c r="D687" i="24"/>
  <c r="D688" i="24"/>
  <c r="D689" i="24"/>
  <c r="D690" i="24"/>
  <c r="D691" i="24"/>
  <c r="D692" i="24"/>
  <c r="D693" i="24"/>
  <c r="D694" i="24"/>
  <c r="D695" i="24"/>
  <c r="D696" i="24"/>
  <c r="D697" i="24"/>
  <c r="D698" i="24"/>
  <c r="D699" i="24"/>
  <c r="D700" i="24"/>
  <c r="D701" i="24"/>
  <c r="D702" i="24"/>
  <c r="D703" i="24"/>
  <c r="D704" i="24"/>
  <c r="D705" i="24"/>
  <c r="D706" i="24"/>
  <c r="D707" i="24"/>
  <c r="D708" i="24"/>
  <c r="D709" i="24"/>
  <c r="D710" i="24"/>
  <c r="D711" i="24"/>
  <c r="D712" i="24"/>
  <c r="D713" i="24"/>
  <c r="D714" i="24"/>
  <c r="D715" i="24"/>
  <c r="D716" i="24"/>
  <c r="D717" i="24"/>
  <c r="D718" i="24"/>
  <c r="D719" i="24"/>
  <c r="D720" i="24"/>
  <c r="D721" i="24"/>
  <c r="D722" i="24"/>
  <c r="D723" i="24"/>
  <c r="D724" i="24"/>
  <c r="D725" i="24"/>
  <c r="D726" i="24"/>
  <c r="D727" i="24"/>
  <c r="D728" i="24"/>
  <c r="D729" i="24"/>
  <c r="D730" i="24"/>
  <c r="D731" i="24"/>
  <c r="D732" i="24"/>
  <c r="D733" i="24"/>
  <c r="D734" i="24"/>
  <c r="D735" i="24"/>
  <c r="D736" i="24"/>
  <c r="D737" i="24"/>
  <c r="D738" i="24"/>
  <c r="D739" i="24"/>
  <c r="D740" i="24"/>
  <c r="D741" i="24"/>
  <c r="D742" i="24"/>
  <c r="D743" i="24"/>
  <c r="D744" i="24"/>
  <c r="D745" i="24"/>
  <c r="D746" i="24"/>
  <c r="D747" i="24"/>
  <c r="D748" i="24"/>
  <c r="D749" i="24"/>
  <c r="D750" i="24"/>
  <c r="D751" i="24"/>
  <c r="D752" i="24"/>
  <c r="D753" i="24"/>
  <c r="D754" i="24"/>
  <c r="D755" i="24"/>
  <c r="D756" i="24"/>
  <c r="D757" i="24"/>
  <c r="D758" i="24"/>
  <c r="D759" i="24"/>
  <c r="D760" i="24"/>
  <c r="D761" i="24"/>
  <c r="D762" i="24"/>
  <c r="D763" i="24"/>
  <c r="D764" i="24"/>
  <c r="D765" i="24"/>
  <c r="D766" i="24"/>
  <c r="D767" i="24"/>
  <c r="D768" i="24"/>
  <c r="D769" i="24"/>
  <c r="D770" i="24"/>
  <c r="D771" i="24"/>
  <c r="D772" i="24"/>
  <c r="D773" i="24"/>
  <c r="D774" i="24"/>
  <c r="D775" i="24"/>
  <c r="D776" i="24"/>
  <c r="D777" i="24"/>
  <c r="D778" i="24"/>
  <c r="D779" i="24"/>
  <c r="D780" i="24"/>
  <c r="D781" i="24"/>
  <c r="D782" i="24"/>
  <c r="D783" i="24"/>
  <c r="D784" i="24"/>
  <c r="D785" i="24"/>
  <c r="D786" i="24"/>
  <c r="D787" i="24"/>
  <c r="D788" i="24"/>
  <c r="D789" i="24"/>
  <c r="D790" i="24"/>
  <c r="D791" i="24"/>
  <c r="D792" i="24"/>
  <c r="D793" i="24"/>
  <c r="D794" i="24"/>
  <c r="D795" i="24"/>
  <c r="D796" i="24"/>
  <c r="D797" i="24"/>
  <c r="D798" i="24"/>
  <c r="D799" i="24"/>
  <c r="D800" i="24"/>
  <c r="D801" i="24"/>
  <c r="D802" i="24"/>
  <c r="D803" i="24"/>
  <c r="D804" i="24"/>
  <c r="D805" i="24"/>
  <c r="D806" i="24"/>
  <c r="D807" i="24"/>
  <c r="D808" i="24"/>
  <c r="D809" i="24"/>
  <c r="D810" i="24"/>
  <c r="D811" i="24"/>
  <c r="D812" i="24"/>
  <c r="D813" i="24"/>
  <c r="D814" i="24"/>
  <c r="D815" i="24"/>
  <c r="D816" i="24"/>
  <c r="D817" i="24"/>
  <c r="D818" i="24"/>
  <c r="D819" i="24"/>
  <c r="D820" i="24"/>
  <c r="D821" i="24"/>
  <c r="D822" i="24"/>
  <c r="D823" i="24"/>
  <c r="D824" i="24"/>
  <c r="D825" i="24"/>
  <c r="D826" i="24"/>
  <c r="D827" i="24"/>
  <c r="D828" i="24"/>
  <c r="D829" i="24"/>
  <c r="D830" i="24"/>
  <c r="D831" i="24"/>
  <c r="D832" i="24"/>
  <c r="D833" i="24"/>
  <c r="D834" i="24"/>
  <c r="D835" i="24"/>
  <c r="D836" i="24"/>
  <c r="D837" i="24"/>
  <c r="D838" i="24"/>
  <c r="D839" i="24"/>
  <c r="D840" i="24"/>
  <c r="D841" i="24"/>
  <c r="D842" i="24"/>
  <c r="D843" i="24"/>
  <c r="D844" i="24"/>
  <c r="D845" i="24"/>
  <c r="D846" i="24"/>
  <c r="D847" i="24"/>
  <c r="D848" i="24"/>
  <c r="D849" i="24"/>
  <c r="D850" i="24"/>
  <c r="D851" i="24"/>
  <c r="D852" i="24"/>
  <c r="D853" i="24"/>
  <c r="D854" i="24"/>
  <c r="D855" i="24"/>
  <c r="D856" i="24"/>
  <c r="D857" i="24"/>
  <c r="D858" i="24"/>
  <c r="D859" i="24"/>
  <c r="D860" i="24"/>
  <c r="D861" i="24"/>
  <c r="D862" i="24"/>
  <c r="D863" i="24"/>
  <c r="D864" i="24"/>
  <c r="D865" i="24"/>
  <c r="D866" i="24"/>
  <c r="D867" i="24"/>
  <c r="D868" i="24"/>
  <c r="D869" i="24"/>
  <c r="D870" i="24"/>
  <c r="D871" i="24"/>
  <c r="D872" i="24"/>
  <c r="D873" i="24"/>
  <c r="D874" i="24"/>
  <c r="D875" i="24"/>
  <c r="D876" i="24"/>
  <c r="D877" i="24"/>
  <c r="D878" i="24"/>
  <c r="D879" i="24"/>
  <c r="D880" i="24"/>
  <c r="D881" i="24"/>
  <c r="D882" i="24"/>
  <c r="D883" i="24"/>
  <c r="D884" i="24"/>
  <c r="D885" i="24"/>
  <c r="D886" i="24"/>
  <c r="D887" i="24"/>
  <c r="D888" i="24"/>
  <c r="D889" i="24"/>
  <c r="D890" i="24"/>
  <c r="D891" i="24"/>
  <c r="D892" i="24"/>
  <c r="D893" i="24"/>
  <c r="D894" i="24"/>
  <c r="D895" i="24"/>
  <c r="D896" i="24"/>
  <c r="D897" i="24"/>
  <c r="D898" i="24"/>
  <c r="D899" i="24"/>
  <c r="D900" i="24"/>
  <c r="D901" i="24"/>
  <c r="D902" i="24"/>
  <c r="D903" i="24"/>
  <c r="D904" i="24"/>
  <c r="D905" i="24"/>
  <c r="D906" i="24"/>
  <c r="D907" i="24"/>
  <c r="D908" i="24"/>
  <c r="D909" i="24"/>
  <c r="D910" i="24"/>
  <c r="D911" i="24"/>
  <c r="D912" i="24"/>
  <c r="D913" i="24"/>
  <c r="D914" i="24"/>
  <c r="D915" i="24"/>
  <c r="D916" i="24"/>
  <c r="D917" i="24"/>
  <c r="D918" i="24"/>
  <c r="D919" i="24"/>
  <c r="D920" i="24"/>
  <c r="D921" i="24"/>
  <c r="D922" i="24"/>
  <c r="D923" i="24"/>
  <c r="D924" i="24"/>
  <c r="D925" i="24"/>
  <c r="D926" i="24"/>
  <c r="D927" i="24"/>
  <c r="D928" i="24"/>
  <c r="D929" i="24"/>
  <c r="D930" i="24"/>
  <c r="D931" i="24"/>
  <c r="D932" i="24"/>
  <c r="D933" i="24"/>
  <c r="D934" i="24"/>
  <c r="D935" i="24"/>
  <c r="D936" i="24"/>
  <c r="D937" i="24"/>
  <c r="D938" i="24"/>
  <c r="D939" i="24"/>
  <c r="D940" i="24"/>
  <c r="D941" i="24"/>
  <c r="D942" i="24"/>
  <c r="D943" i="24"/>
  <c r="D944" i="24"/>
  <c r="D945" i="24"/>
  <c r="D946" i="24"/>
  <c r="D947" i="24"/>
  <c r="D948" i="24"/>
  <c r="D949" i="24"/>
  <c r="D950" i="24"/>
  <c r="D951" i="24"/>
  <c r="D952" i="24"/>
  <c r="D953" i="24"/>
  <c r="D954" i="24"/>
  <c r="D955" i="24"/>
  <c r="D956" i="24"/>
  <c r="D957" i="24"/>
  <c r="D958" i="24"/>
  <c r="D959" i="24"/>
  <c r="D960" i="24"/>
  <c r="D961" i="24"/>
  <c r="D962" i="24"/>
  <c r="D963" i="24"/>
  <c r="D964" i="24"/>
  <c r="D965" i="24"/>
  <c r="D966" i="24"/>
  <c r="D967" i="24"/>
  <c r="D968" i="24"/>
  <c r="D969" i="24"/>
  <c r="D970" i="24"/>
  <c r="D971" i="24"/>
  <c r="D972" i="24"/>
  <c r="D973" i="24"/>
  <c r="D974" i="24"/>
  <c r="D975" i="24"/>
  <c r="D976" i="24"/>
  <c r="D977" i="24"/>
  <c r="D978" i="24"/>
  <c r="D979" i="24"/>
  <c r="D980" i="24"/>
  <c r="D981" i="24"/>
  <c r="D982" i="24"/>
  <c r="D983" i="24"/>
  <c r="D984" i="24"/>
  <c r="D985" i="24"/>
  <c r="D986" i="24"/>
  <c r="D987" i="24"/>
  <c r="D988" i="24"/>
  <c r="D989" i="24"/>
  <c r="D990" i="24"/>
  <c r="D991" i="24"/>
  <c r="D992" i="24"/>
  <c r="D993" i="24"/>
  <c r="D994" i="24"/>
  <c r="D995" i="24"/>
  <c r="D996" i="24"/>
  <c r="D997" i="24"/>
  <c r="D998" i="24"/>
  <c r="D999" i="24"/>
  <c r="D1000" i="24"/>
  <c r="D1001" i="24"/>
  <c r="D1002" i="24"/>
  <c r="D1003" i="24"/>
  <c r="D1004" i="24"/>
  <c r="D1005" i="24"/>
  <c r="D1006" i="24"/>
  <c r="D1007" i="24"/>
  <c r="D1008" i="24"/>
  <c r="D1009" i="24"/>
  <c r="D1010" i="24"/>
  <c r="D1011" i="24"/>
  <c r="D1012" i="24"/>
  <c r="D1013" i="24"/>
  <c r="D1014" i="24"/>
  <c r="D1015" i="24"/>
  <c r="D1016" i="24"/>
  <c r="D1017" i="24"/>
  <c r="D1018" i="24"/>
  <c r="D1019" i="24"/>
  <c r="D1020" i="24"/>
  <c r="D293" i="24"/>
  <c r="D294" i="24"/>
  <c r="D295" i="24"/>
  <c r="D296" i="24"/>
  <c r="D297" i="24"/>
  <c r="D298" i="24"/>
  <c r="D299" i="24"/>
  <c r="D300" i="24"/>
  <c r="D301" i="24"/>
  <c r="D302" i="24"/>
  <c r="D303" i="24"/>
  <c r="D304" i="24"/>
  <c r="D305" i="24"/>
  <c r="D306" i="24"/>
  <c r="D307" i="24"/>
  <c r="D308" i="24"/>
  <c r="D309" i="24"/>
  <c r="D310" i="24"/>
  <c r="D311" i="24"/>
  <c r="D312" i="24"/>
  <c r="D37" i="24"/>
  <c r="D38" i="24"/>
  <c r="D39" i="24"/>
  <c r="D40" i="24"/>
  <c r="D41" i="24"/>
  <c r="D42" i="24"/>
  <c r="D43" i="24"/>
  <c r="D44" i="24"/>
  <c r="D45" i="24"/>
  <c r="D46" i="24"/>
  <c r="D47" i="24"/>
  <c r="D48" i="24"/>
  <c r="D49" i="24"/>
  <c r="D50" i="24"/>
  <c r="D51" i="24"/>
  <c r="D52" i="24"/>
  <c r="D53" i="24"/>
  <c r="D54" i="24"/>
  <c r="D55" i="24"/>
  <c r="D56" i="24"/>
  <c r="D57" i="24"/>
  <c r="D58" i="24"/>
  <c r="D59" i="24"/>
  <c r="D60" i="24"/>
  <c r="D61" i="24"/>
  <c r="D62" i="24"/>
  <c r="D63" i="24"/>
  <c r="D64" i="24"/>
  <c r="D65" i="24"/>
  <c r="D66" i="24"/>
  <c r="D67" i="24"/>
  <c r="D68" i="24"/>
  <c r="D69" i="24"/>
  <c r="D70" i="24"/>
  <c r="D71" i="24"/>
  <c r="D72" i="24"/>
  <c r="D73" i="24"/>
  <c r="D74" i="24"/>
  <c r="D75" i="24"/>
  <c r="D76" i="24"/>
  <c r="D77" i="24"/>
  <c r="D78" i="24"/>
  <c r="D79" i="24"/>
  <c r="D80" i="24"/>
  <c r="D81" i="24"/>
  <c r="D82" i="24"/>
  <c r="D83" i="24"/>
  <c r="D84" i="24"/>
  <c r="D85" i="24"/>
  <c r="D86" i="24"/>
  <c r="D87" i="24"/>
  <c r="D88" i="24"/>
  <c r="D89" i="24"/>
  <c r="D90" i="24"/>
  <c r="D91" i="24"/>
  <c r="D92" i="24"/>
  <c r="D93" i="24"/>
  <c r="D94" i="24"/>
  <c r="D95" i="24"/>
  <c r="D96" i="24"/>
  <c r="D97" i="24"/>
  <c r="D98" i="24"/>
  <c r="D99" i="24"/>
  <c r="D100" i="24"/>
  <c r="D101" i="24"/>
  <c r="D102" i="24"/>
  <c r="D103" i="24"/>
  <c r="D104" i="24"/>
  <c r="D105" i="24"/>
  <c r="D106" i="24"/>
  <c r="D107" i="24"/>
  <c r="D108" i="24"/>
  <c r="D109" i="24"/>
  <c r="D110" i="24"/>
  <c r="D111" i="24"/>
  <c r="D112" i="24"/>
  <c r="D113" i="24"/>
  <c r="D114" i="24"/>
  <c r="D115" i="24"/>
  <c r="D116" i="24"/>
  <c r="D117" i="24"/>
  <c r="D118" i="24"/>
  <c r="D119" i="24"/>
  <c r="D120" i="24"/>
  <c r="D121" i="24"/>
  <c r="D122" i="24"/>
  <c r="D123" i="24"/>
  <c r="D124" i="24"/>
  <c r="D125" i="24"/>
  <c r="D126" i="24"/>
  <c r="D127" i="24"/>
  <c r="D128" i="24"/>
  <c r="D129" i="24"/>
  <c r="D130" i="24"/>
  <c r="D131" i="24"/>
  <c r="D132" i="24"/>
  <c r="D133" i="24"/>
  <c r="D134" i="24"/>
  <c r="D135" i="24"/>
  <c r="D136" i="24"/>
  <c r="D137" i="24"/>
  <c r="D138" i="24"/>
  <c r="D139" i="24"/>
  <c r="D140" i="24"/>
  <c r="D141" i="24"/>
  <c r="D142" i="24"/>
  <c r="D143" i="24"/>
  <c r="D144" i="24"/>
  <c r="D145" i="24"/>
  <c r="D146" i="24"/>
  <c r="D147" i="24"/>
  <c r="D148" i="24"/>
  <c r="D149" i="24"/>
  <c r="D150" i="24"/>
  <c r="D151" i="24"/>
  <c r="D152" i="24"/>
  <c r="D153" i="24"/>
  <c r="D154" i="24"/>
  <c r="D155" i="24"/>
  <c r="D156" i="24"/>
  <c r="D157" i="24"/>
  <c r="D158" i="24"/>
  <c r="D159" i="24"/>
  <c r="D160" i="24"/>
  <c r="D161" i="24"/>
  <c r="D162" i="24"/>
  <c r="D163" i="24"/>
  <c r="D164" i="24"/>
  <c r="D165" i="24"/>
  <c r="D166" i="24"/>
  <c r="D167" i="24"/>
  <c r="D168" i="24"/>
  <c r="D169" i="24"/>
  <c r="D170" i="24"/>
  <c r="D171" i="24"/>
  <c r="D172" i="24"/>
  <c r="D173" i="24"/>
  <c r="D174" i="24"/>
  <c r="D175" i="24"/>
  <c r="D176" i="24"/>
  <c r="D177" i="24"/>
  <c r="D178" i="24"/>
  <c r="D179" i="24"/>
  <c r="D180" i="24"/>
  <c r="D181" i="24"/>
  <c r="D182" i="24"/>
  <c r="D183" i="24"/>
  <c r="D184" i="24"/>
  <c r="D185" i="24"/>
  <c r="D186" i="24"/>
  <c r="D187" i="24"/>
  <c r="D188" i="24"/>
  <c r="D189" i="24"/>
  <c r="D190" i="24"/>
  <c r="D191" i="24"/>
  <c r="D192" i="24"/>
  <c r="D193" i="24"/>
  <c r="D194" i="24"/>
  <c r="D195" i="24"/>
  <c r="D196" i="24"/>
  <c r="D197" i="24"/>
  <c r="D198" i="24"/>
  <c r="D199" i="24"/>
  <c r="D200" i="24"/>
  <c r="D201" i="24"/>
  <c r="D202" i="24"/>
  <c r="D203" i="24"/>
  <c r="D204" i="24"/>
  <c r="D205" i="24"/>
  <c r="D206" i="24"/>
  <c r="D207" i="24"/>
  <c r="D208" i="24"/>
  <c r="D209" i="24"/>
  <c r="D210" i="24"/>
  <c r="D211" i="24"/>
  <c r="D212" i="24"/>
  <c r="D213" i="24"/>
  <c r="D214" i="24"/>
  <c r="D215" i="24"/>
  <c r="D216" i="24"/>
  <c r="D217" i="24"/>
  <c r="D218" i="24"/>
  <c r="D219" i="24"/>
  <c r="D220" i="24"/>
  <c r="D221" i="24"/>
  <c r="D222" i="24"/>
  <c r="D223" i="24"/>
  <c r="D224" i="24"/>
  <c r="D225" i="24"/>
  <c r="D226" i="24"/>
  <c r="D227" i="24"/>
  <c r="D228" i="24"/>
  <c r="D229" i="24"/>
  <c r="D230" i="24"/>
  <c r="D231" i="24"/>
  <c r="D232" i="24"/>
  <c r="D233" i="24"/>
  <c r="D234" i="24"/>
  <c r="D235" i="24"/>
  <c r="D236" i="24"/>
  <c r="D237" i="24"/>
  <c r="D238" i="24"/>
  <c r="D239" i="24"/>
  <c r="D240" i="24"/>
  <c r="D241" i="24"/>
  <c r="D242" i="24"/>
  <c r="D243" i="24"/>
  <c r="D244" i="24"/>
  <c r="D245" i="24"/>
  <c r="D246" i="24"/>
  <c r="D247" i="24"/>
  <c r="D248" i="24"/>
  <c r="D249" i="24"/>
  <c r="D250" i="24"/>
  <c r="D251" i="24"/>
  <c r="D252" i="24"/>
  <c r="D253" i="24"/>
  <c r="D254" i="24"/>
  <c r="D255" i="24"/>
  <c r="D256" i="24"/>
  <c r="D257" i="24"/>
  <c r="D258" i="24"/>
  <c r="D259" i="24"/>
  <c r="D260" i="24"/>
  <c r="D261" i="24"/>
  <c r="D262" i="24"/>
  <c r="D263" i="24"/>
  <c r="D264" i="24"/>
  <c r="D265" i="24"/>
  <c r="D266" i="24"/>
  <c r="D267" i="24"/>
  <c r="D268" i="24"/>
  <c r="D269" i="24"/>
  <c r="D270" i="24"/>
  <c r="D271" i="24"/>
  <c r="D272" i="24"/>
  <c r="D273" i="24"/>
  <c r="D274" i="24"/>
  <c r="D275" i="24"/>
  <c r="D276" i="24"/>
  <c r="D277" i="24"/>
  <c r="D278" i="24"/>
  <c r="D279" i="24"/>
  <c r="D280" i="24"/>
  <c r="D281" i="24"/>
  <c r="D282" i="24"/>
  <c r="D283" i="24"/>
  <c r="D284" i="24"/>
  <c r="D285" i="24"/>
  <c r="D286" i="24"/>
  <c r="D287" i="24"/>
  <c r="D288" i="24"/>
  <c r="D289" i="24"/>
  <c r="D290" i="24"/>
  <c r="D291" i="24"/>
  <c r="D292" i="24"/>
  <c r="D15" i="24"/>
  <c r="D16" i="24"/>
  <c r="D17" i="24"/>
  <c r="D18" i="24"/>
  <c r="D19" i="24"/>
  <c r="D20" i="24"/>
  <c r="D21" i="24"/>
  <c r="D22" i="24"/>
  <c r="D23" i="24"/>
  <c r="D24" i="24"/>
  <c r="D25" i="24"/>
  <c r="D26" i="24"/>
  <c r="D27" i="24"/>
  <c r="D28" i="24"/>
  <c r="D29" i="24"/>
  <c r="D30" i="24"/>
  <c r="D31" i="24"/>
  <c r="D32" i="24"/>
  <c r="D33" i="24"/>
  <c r="D34" i="24"/>
  <c r="D35" i="24"/>
  <c r="D36" i="24"/>
  <c r="D3" i="24"/>
  <c r="D4" i="24"/>
  <c r="D5" i="24"/>
  <c r="D6" i="24"/>
  <c r="D7" i="24"/>
  <c r="D8" i="24"/>
  <c r="D9" i="24"/>
  <c r="D10" i="24"/>
  <c r="D11" i="24"/>
  <c r="D12" i="24"/>
  <c r="D13" i="24"/>
  <c r="D14" i="24"/>
  <c r="D2" i="24"/>
  <c r="C963" i="24"/>
  <c r="C964" i="24" s="1"/>
  <c r="C965" i="24" s="1"/>
  <c r="C966" i="24" s="1"/>
  <c r="C967" i="24" s="1"/>
  <c r="C968" i="24" s="1"/>
  <c r="C969" i="24" s="1"/>
  <c r="C970" i="24" s="1"/>
  <c r="C971" i="24" s="1"/>
  <c r="C972" i="24" s="1"/>
  <c r="C946" i="24"/>
  <c r="C947" i="24"/>
  <c r="C948" i="24"/>
  <c r="C949" i="24"/>
  <c r="C950" i="24"/>
  <c r="C951" i="24"/>
  <c r="C952" i="24"/>
  <c r="C953" i="24"/>
  <c r="C954" i="24"/>
  <c r="C955" i="24"/>
  <c r="C956" i="24"/>
  <c r="C957" i="24"/>
  <c r="C958" i="24"/>
  <c r="C959" i="24"/>
  <c r="C960" i="24"/>
  <c r="C961" i="24"/>
  <c r="C962" i="24"/>
  <c r="C945" i="24"/>
  <c r="C935" i="24"/>
  <c r="C934" i="24"/>
  <c r="C933" i="24"/>
  <c r="C932" i="24"/>
  <c r="C931" i="24"/>
  <c r="C944" i="24" s="1"/>
  <c r="C930" i="24"/>
  <c r="C943" i="24" s="1"/>
  <c r="C929" i="24"/>
  <c r="C942" i="24" s="1"/>
  <c r="C928" i="24"/>
  <c r="C941" i="24" s="1"/>
  <c r="C927" i="24"/>
  <c r="C940" i="24" s="1"/>
  <c r="C926" i="24"/>
  <c r="C939" i="24" s="1"/>
  <c r="C925" i="24"/>
  <c r="C938" i="24" s="1"/>
  <c r="C924" i="24"/>
  <c r="C937" i="24" s="1"/>
  <c r="C923" i="24"/>
  <c r="C936" i="24" s="1"/>
  <c r="C1001" i="24"/>
  <c r="C1002" i="24"/>
  <c r="C1003" i="24"/>
  <c r="C1004" i="24"/>
  <c r="C1005" i="24"/>
  <c r="C1006" i="24"/>
  <c r="C1007" i="24"/>
  <c r="C819" i="24"/>
  <c r="C1009" i="24" s="1"/>
  <c r="C820" i="24"/>
  <c r="C1010" i="24" s="1"/>
  <c r="C821" i="24"/>
  <c r="C1011" i="24" s="1"/>
  <c r="C822" i="24"/>
  <c r="C1012" i="24" s="1"/>
  <c r="C823" i="24"/>
  <c r="C1013" i="24" s="1"/>
  <c r="C824" i="24"/>
  <c r="C1014" i="24" s="1"/>
  <c r="C825" i="24"/>
  <c r="C1015" i="24" s="1"/>
  <c r="C826" i="24"/>
  <c r="C1016" i="24" s="1"/>
  <c r="C827" i="24"/>
  <c r="C1017" i="24" s="1"/>
  <c r="C828" i="24"/>
  <c r="C1018" i="24" s="1"/>
  <c r="C829" i="24"/>
  <c r="C831" i="24" s="1"/>
  <c r="C833" i="24" s="1"/>
  <c r="C835" i="24" s="1"/>
  <c r="C837" i="24" s="1"/>
  <c r="C839" i="24" s="1"/>
  <c r="C841" i="24" s="1"/>
  <c r="C843" i="24" s="1"/>
  <c r="C845" i="24" s="1"/>
  <c r="C847" i="24" s="1"/>
  <c r="C818" i="24"/>
  <c r="C1008" i="24" s="1"/>
  <c r="C779" i="24"/>
  <c r="C782" i="24" s="1"/>
  <c r="C785" i="24" s="1"/>
  <c r="C788" i="24" s="1"/>
  <c r="C791" i="24" s="1"/>
  <c r="C794" i="24" s="1"/>
  <c r="C797" i="24" s="1"/>
  <c r="C780" i="24"/>
  <c r="C783" i="24" s="1"/>
  <c r="C786" i="24" s="1"/>
  <c r="C789" i="24" s="1"/>
  <c r="C792" i="24" s="1"/>
  <c r="C795" i="24" s="1"/>
  <c r="C798" i="24" s="1"/>
  <c r="C801" i="24" s="1"/>
  <c r="C778" i="24"/>
  <c r="C781" i="24" s="1"/>
  <c r="C784" i="24" s="1"/>
  <c r="C787" i="24" s="1"/>
  <c r="C790" i="24" s="1"/>
  <c r="C793" i="24" s="1"/>
  <c r="C796" i="24" s="1"/>
  <c r="C799" i="24" s="1"/>
  <c r="C767" i="24"/>
  <c r="C773" i="24" s="1"/>
  <c r="C768" i="24"/>
  <c r="C769" i="24"/>
  <c r="C770" i="24"/>
  <c r="C771" i="24"/>
  <c r="C766" i="24"/>
  <c r="C772" i="24" s="1"/>
  <c r="C737" i="24"/>
  <c r="C712" i="24"/>
  <c r="C715" i="24" s="1"/>
  <c r="C718" i="24" s="1"/>
  <c r="C721" i="24" s="1"/>
  <c r="C724" i="24" s="1"/>
  <c r="C727" i="24" s="1"/>
  <c r="C730" i="24" s="1"/>
  <c r="C733" i="24" s="1"/>
  <c r="C739" i="24" s="1"/>
  <c r="C713" i="24"/>
  <c r="C716" i="24" s="1"/>
  <c r="C719" i="24" s="1"/>
  <c r="C722" i="24" s="1"/>
  <c r="C725" i="24" s="1"/>
  <c r="C728" i="24" s="1"/>
  <c r="C711" i="24"/>
  <c r="C714" i="24" s="1"/>
  <c r="C717" i="24" s="1"/>
  <c r="C720" i="24" s="1"/>
  <c r="C723" i="24" s="1"/>
  <c r="C726" i="24" s="1"/>
  <c r="C729" i="24" s="1"/>
  <c r="C732" i="24" s="1"/>
  <c r="C735" i="24" s="1"/>
  <c r="C738" i="24" s="1"/>
  <c r="C321" i="24"/>
  <c r="C520" i="24" s="1"/>
  <c r="C57" i="24" l="1"/>
  <c r="C79" i="24" s="1"/>
  <c r="C36" i="24"/>
  <c r="C62" i="24" s="1"/>
  <c r="C84" i="24" s="1"/>
  <c r="C55" i="24"/>
  <c r="C77" i="24" s="1"/>
  <c r="C99" i="24" s="1"/>
  <c r="C121" i="24" s="1"/>
  <c r="C144" i="24" s="1"/>
  <c r="C53" i="24"/>
  <c r="C75" i="24" s="1"/>
  <c r="C52" i="24"/>
  <c r="C74" i="24" s="1"/>
  <c r="C96" i="24" s="1"/>
  <c r="C118" i="24" s="1"/>
  <c r="C141" i="24" s="1"/>
  <c r="C97" i="24"/>
  <c r="C119" i="24" s="1"/>
  <c r="C142" i="24" s="1"/>
  <c r="C830" i="24"/>
  <c r="C1020" i="24" s="1"/>
  <c r="C335" i="24"/>
  <c r="C534" i="24" s="1"/>
  <c r="C159" i="24"/>
  <c r="C358" i="24" s="1"/>
  <c r="C557" i="24" s="1"/>
  <c r="E6" i="24"/>
  <c r="E15" i="24"/>
  <c r="E25" i="24" s="1"/>
  <c r="E35" i="24" s="1"/>
  <c r="E45" i="24" s="1"/>
  <c r="E55" i="24" s="1"/>
  <c r="E65" i="24" s="1"/>
  <c r="E75" i="24" s="1"/>
  <c r="E85" i="24" s="1"/>
  <c r="E95" i="24" s="1"/>
  <c r="E105" i="24" s="1"/>
  <c r="E115" i="24" s="1"/>
  <c r="E125" i="24" s="1"/>
  <c r="E135" i="24" s="1"/>
  <c r="E145" i="24" s="1"/>
  <c r="E155" i="24" s="1"/>
  <c r="E165" i="24" s="1"/>
  <c r="E175" i="24" s="1"/>
  <c r="E14" i="24"/>
  <c r="E24" i="24" s="1"/>
  <c r="E34" i="24" s="1"/>
  <c r="E44" i="24" s="1"/>
  <c r="E54" i="24" s="1"/>
  <c r="E64" i="24" s="1"/>
  <c r="E74" i="24" s="1"/>
  <c r="E84" i="24" s="1"/>
  <c r="E94" i="24" s="1"/>
  <c r="E104" i="24" s="1"/>
  <c r="E114" i="24" s="1"/>
  <c r="E124" i="24" s="1"/>
  <c r="E134" i="24" s="1"/>
  <c r="E144" i="24" s="1"/>
  <c r="E154" i="24" s="1"/>
  <c r="E164" i="24" s="1"/>
  <c r="E174" i="24" s="1"/>
  <c r="E184" i="24" s="1"/>
  <c r="E185" i="24" s="1"/>
  <c r="E186" i="24" s="1"/>
  <c r="E187" i="24" s="1"/>
  <c r="E188" i="24" s="1"/>
  <c r="E189" i="24" s="1"/>
  <c r="E190" i="24" s="1"/>
  <c r="E191" i="24" s="1"/>
  <c r="E192" i="24" s="1"/>
  <c r="E193" i="24" s="1"/>
  <c r="E194" i="24" s="1"/>
  <c r="E195" i="24" s="1"/>
  <c r="E196" i="24" s="1"/>
  <c r="E197" i="24" s="1"/>
  <c r="E198" i="24" s="1"/>
  <c r="E199" i="24" s="1"/>
  <c r="E200" i="24" s="1"/>
  <c r="E201" i="24" s="1"/>
  <c r="E202" i="24" s="1"/>
  <c r="E203" i="24" s="1"/>
  <c r="E204" i="24" s="1"/>
  <c r="E205" i="24" s="1"/>
  <c r="E206" i="24" s="1"/>
  <c r="E207" i="24" s="1"/>
  <c r="E208" i="24" s="1"/>
  <c r="E209" i="24" s="1"/>
  <c r="E210" i="24" s="1"/>
  <c r="E211" i="24" s="1"/>
  <c r="E212" i="24" s="1"/>
  <c r="E213" i="24" s="1"/>
  <c r="E214" i="24" s="1"/>
  <c r="E215" i="24" s="1"/>
  <c r="E216" i="24" s="1"/>
  <c r="E217" i="24" s="1"/>
  <c r="E218" i="24" s="1"/>
  <c r="E219" i="24" s="1"/>
  <c r="E220" i="24" s="1"/>
  <c r="E221" i="24" s="1"/>
  <c r="E222" i="24" s="1"/>
  <c r="E223" i="24" s="1"/>
  <c r="E224" i="24" s="1"/>
  <c r="E225" i="24" s="1"/>
  <c r="E226" i="24" s="1"/>
  <c r="E227" i="24" s="1"/>
  <c r="E228" i="24" s="1"/>
  <c r="E229" i="24" s="1"/>
  <c r="E230" i="24" s="1"/>
  <c r="E231" i="24" s="1"/>
  <c r="E232" i="24" s="1"/>
  <c r="E233" i="24" s="1"/>
  <c r="E234" i="24" s="1"/>
  <c r="E235" i="24" s="1"/>
  <c r="E236" i="24" s="1"/>
  <c r="E237" i="24" s="1"/>
  <c r="E238" i="24" s="1"/>
  <c r="E239" i="24" s="1"/>
  <c r="E240" i="24" s="1"/>
  <c r="E241" i="24" s="1"/>
  <c r="E242" i="24" s="1"/>
  <c r="E243" i="24" s="1"/>
  <c r="E244" i="24" s="1"/>
  <c r="E245" i="24" s="1"/>
  <c r="E246" i="24" s="1"/>
  <c r="E247" i="24" s="1"/>
  <c r="E248" i="24" s="1"/>
  <c r="E249" i="24" s="1"/>
  <c r="E250" i="24" s="1"/>
  <c r="E251" i="24" s="1"/>
  <c r="E252" i="24" s="1"/>
  <c r="E253" i="24" s="1"/>
  <c r="E254" i="24" s="1"/>
  <c r="E255" i="24" s="1"/>
  <c r="E256" i="24" s="1"/>
  <c r="E257" i="24" s="1"/>
  <c r="E258" i="24" s="1"/>
  <c r="E259" i="24" s="1"/>
  <c r="E260" i="24" s="1"/>
  <c r="E261" i="24" s="1"/>
  <c r="E262" i="24" s="1"/>
  <c r="E263" i="24" s="1"/>
  <c r="E264" i="24" s="1"/>
  <c r="E265" i="24" s="1"/>
  <c r="E266" i="24" s="1"/>
  <c r="E267" i="24" s="1"/>
  <c r="E268" i="24" s="1"/>
  <c r="E269" i="24" s="1"/>
  <c r="E270" i="24" s="1"/>
  <c r="E271" i="24" s="1"/>
  <c r="E272" i="24" s="1"/>
  <c r="E273" i="24" s="1"/>
  <c r="E274" i="24" s="1"/>
  <c r="E275" i="24" s="1"/>
  <c r="E276" i="24" s="1"/>
  <c r="E277" i="24" s="1"/>
  <c r="E278" i="24" s="1"/>
  <c r="E279" i="24" s="1"/>
  <c r="E280" i="24" s="1"/>
  <c r="E281" i="24" s="1"/>
  <c r="E282" i="24" s="1"/>
  <c r="E283" i="24" s="1"/>
  <c r="E284" i="24" s="1"/>
  <c r="C153" i="24"/>
  <c r="C176" i="24" s="1"/>
  <c r="C152" i="24"/>
  <c r="C751" i="24"/>
  <c r="C148" i="24"/>
  <c r="C325" i="24"/>
  <c r="C524" i="24" s="1"/>
  <c r="C804" i="24"/>
  <c r="C991" i="24"/>
  <c r="C156" i="24"/>
  <c r="C332" i="24"/>
  <c r="C531" i="24" s="1"/>
  <c r="C150" i="24"/>
  <c r="C327" i="24"/>
  <c r="C526" i="24" s="1"/>
  <c r="C802" i="24"/>
  <c r="C989" i="24"/>
  <c r="C140" i="24"/>
  <c r="C316" i="24"/>
  <c r="C515" i="24" s="1"/>
  <c r="C149" i="24"/>
  <c r="C326" i="24"/>
  <c r="C525" i="24" s="1"/>
  <c r="C158" i="24"/>
  <c r="C334" i="24"/>
  <c r="C533" i="24" s="1"/>
  <c r="C987" i="24"/>
  <c r="C800" i="24"/>
  <c r="C320" i="24"/>
  <c r="C519" i="24" s="1"/>
  <c r="C160" i="24"/>
  <c r="C988" i="24"/>
  <c r="C338" i="24"/>
  <c r="C537" i="24" s="1"/>
  <c r="C157" i="24"/>
  <c r="C333" i="24"/>
  <c r="C532" i="24" s="1"/>
  <c r="C154" i="24"/>
  <c r="C353" i="24" s="1"/>
  <c r="C552" i="24" s="1"/>
  <c r="C155" i="24"/>
  <c r="C331" i="24"/>
  <c r="C530" i="24" s="1"/>
  <c r="C207" i="24"/>
  <c r="C383" i="24"/>
  <c r="C582" i="24" s="1"/>
  <c r="C161" i="24"/>
  <c r="C361" i="24"/>
  <c r="C560" i="24" s="1"/>
  <c r="C145" i="24"/>
  <c r="C322" i="24"/>
  <c r="C521" i="24" s="1"/>
  <c r="C143" i="24"/>
  <c r="C319" i="24"/>
  <c r="C518" i="24" s="1"/>
  <c r="C1019" i="24"/>
  <c r="C102" i="24"/>
  <c r="C125" i="24" s="1"/>
  <c r="C832" i="24" l="1"/>
  <c r="C834" i="24" s="1"/>
  <c r="C836" i="24" s="1"/>
  <c r="C838" i="24" s="1"/>
  <c r="C840" i="24" s="1"/>
  <c r="C842" i="24" s="1"/>
  <c r="C844" i="24" s="1"/>
  <c r="C181" i="24"/>
  <c r="C318" i="24"/>
  <c r="C517" i="24" s="1"/>
  <c r="E285" i="24"/>
  <c r="E288" i="24"/>
  <c r="E292" i="24" s="1"/>
  <c r="E296" i="24" s="1"/>
  <c r="E300" i="24" s="1"/>
  <c r="E304" i="24" s="1"/>
  <c r="E308" i="24" s="1"/>
  <c r="E312" i="24" s="1"/>
  <c r="E316" i="24" s="1"/>
  <c r="E320" i="24" s="1"/>
  <c r="E324" i="24" s="1"/>
  <c r="E328" i="24" s="1"/>
  <c r="E332" i="24" s="1"/>
  <c r="E336" i="24" s="1"/>
  <c r="E340" i="24" s="1"/>
  <c r="E344" i="24" s="1"/>
  <c r="E348" i="24" s="1"/>
  <c r="E352" i="24" s="1"/>
  <c r="E356" i="24" s="1"/>
  <c r="E360" i="24" s="1"/>
  <c r="E364" i="24" s="1"/>
  <c r="E368" i="24" s="1"/>
  <c r="E372" i="24" s="1"/>
  <c r="E376" i="24" s="1"/>
  <c r="E380" i="24" s="1"/>
  <c r="E384" i="24" s="1"/>
  <c r="E388" i="24" s="1"/>
  <c r="E392" i="24" s="1"/>
  <c r="E396" i="24" s="1"/>
  <c r="E400" i="24" s="1"/>
  <c r="E404" i="24" s="1"/>
  <c r="E408" i="24" s="1"/>
  <c r="E412" i="24" s="1"/>
  <c r="E416" i="24" s="1"/>
  <c r="E420" i="24" s="1"/>
  <c r="E424" i="24" s="1"/>
  <c r="E428" i="24" s="1"/>
  <c r="E432" i="24" s="1"/>
  <c r="E436" i="24" s="1"/>
  <c r="E440" i="24" s="1"/>
  <c r="E444" i="24" s="1"/>
  <c r="E448" i="24" s="1"/>
  <c r="E452" i="24" s="1"/>
  <c r="E456" i="24" s="1"/>
  <c r="E460" i="24" s="1"/>
  <c r="E464" i="24" s="1"/>
  <c r="E468" i="24" s="1"/>
  <c r="E472" i="24" s="1"/>
  <c r="E476" i="24" s="1"/>
  <c r="E480" i="24" s="1"/>
  <c r="E484" i="24" s="1"/>
  <c r="E488" i="24" s="1"/>
  <c r="E492" i="24" s="1"/>
  <c r="E496" i="24" s="1"/>
  <c r="E500" i="24" s="1"/>
  <c r="E504" i="24" s="1"/>
  <c r="E508" i="24" s="1"/>
  <c r="E512" i="24" s="1"/>
  <c r="E516" i="24" s="1"/>
  <c r="E520" i="24" s="1"/>
  <c r="E524" i="24" s="1"/>
  <c r="E528" i="24" s="1"/>
  <c r="E532" i="24" s="1"/>
  <c r="E536" i="24" s="1"/>
  <c r="E540" i="24" s="1"/>
  <c r="E544" i="24" s="1"/>
  <c r="E548" i="24" s="1"/>
  <c r="E552" i="24" s="1"/>
  <c r="E556" i="24" s="1"/>
  <c r="E560" i="24" s="1"/>
  <c r="E564" i="24" s="1"/>
  <c r="E568" i="24" s="1"/>
  <c r="E572" i="24" s="1"/>
  <c r="E576" i="24" s="1"/>
  <c r="E580" i="24" s="1"/>
  <c r="E584" i="24" s="1"/>
  <c r="E588" i="24" s="1"/>
  <c r="E592" i="24" s="1"/>
  <c r="E596" i="24" s="1"/>
  <c r="E600" i="24" s="1"/>
  <c r="E604" i="24" s="1"/>
  <c r="E608" i="24" s="1"/>
  <c r="E612" i="24" s="1"/>
  <c r="E616" i="24" s="1"/>
  <c r="E620" i="24" s="1"/>
  <c r="E624" i="24" s="1"/>
  <c r="E628" i="24" s="1"/>
  <c r="E632" i="24" s="1"/>
  <c r="E636" i="24" s="1"/>
  <c r="E640" i="24" s="1"/>
  <c r="E644" i="24" s="1"/>
  <c r="E648" i="24" s="1"/>
  <c r="E652" i="24" s="1"/>
  <c r="E656" i="24" s="1"/>
  <c r="E660" i="24" s="1"/>
  <c r="E664" i="24" s="1"/>
  <c r="E668" i="24" s="1"/>
  <c r="E672" i="24" s="1"/>
  <c r="E676" i="24" s="1"/>
  <c r="E680" i="24" s="1"/>
  <c r="E684" i="24" s="1"/>
  <c r="E688" i="24" s="1"/>
  <c r="E692" i="24" s="1"/>
  <c r="E696" i="24" s="1"/>
  <c r="E700" i="24" s="1"/>
  <c r="E704" i="24" s="1"/>
  <c r="E708" i="24" s="1"/>
  <c r="E712" i="24" s="1"/>
  <c r="C352" i="24"/>
  <c r="C551" i="24" s="1"/>
  <c r="C317" i="24"/>
  <c r="C516" i="24" s="1"/>
  <c r="E7" i="24"/>
  <c r="E16" i="24"/>
  <c r="E26" i="24" s="1"/>
  <c r="E36" i="24" s="1"/>
  <c r="E46" i="24" s="1"/>
  <c r="E56" i="24" s="1"/>
  <c r="E66" i="24" s="1"/>
  <c r="E76" i="24" s="1"/>
  <c r="E86" i="24" s="1"/>
  <c r="E96" i="24" s="1"/>
  <c r="E106" i="24" s="1"/>
  <c r="E116" i="24" s="1"/>
  <c r="E126" i="24" s="1"/>
  <c r="E136" i="24" s="1"/>
  <c r="E146" i="24" s="1"/>
  <c r="E156" i="24" s="1"/>
  <c r="E166" i="24" s="1"/>
  <c r="E176" i="24" s="1"/>
  <c r="C175" i="24"/>
  <c r="C351" i="24"/>
  <c r="C550" i="24" s="1"/>
  <c r="C846" i="24"/>
  <c r="C848" i="24" s="1"/>
  <c r="C849" i="24" s="1"/>
  <c r="C850" i="24" s="1"/>
  <c r="C851" i="24" s="1"/>
  <c r="C204" i="24"/>
  <c r="C380" i="24"/>
  <c r="C579" i="24" s="1"/>
  <c r="C803" i="24"/>
  <c r="C990" i="24"/>
  <c r="C343" i="24"/>
  <c r="C542" i="24" s="1"/>
  <c r="C167" i="24"/>
  <c r="C354" i="24"/>
  <c r="C553" i="24" s="1"/>
  <c r="C177" i="24"/>
  <c r="C807" i="24"/>
  <c r="C994" i="24"/>
  <c r="C163" i="24"/>
  <c r="C339" i="24"/>
  <c r="C538" i="24" s="1"/>
  <c r="C183" i="24"/>
  <c r="C360" i="24"/>
  <c r="C559" i="24" s="1"/>
  <c r="C230" i="24"/>
  <c r="C406" i="24"/>
  <c r="C605" i="24" s="1"/>
  <c r="C342" i="24"/>
  <c r="C541" i="24" s="1"/>
  <c r="C166" i="24"/>
  <c r="C180" i="24"/>
  <c r="C357" i="24"/>
  <c r="C556" i="24" s="1"/>
  <c r="C340" i="24"/>
  <c r="C539" i="24" s="1"/>
  <c r="C164" i="24"/>
  <c r="C168" i="24"/>
  <c r="C344" i="24"/>
  <c r="C543" i="24" s="1"/>
  <c r="C324" i="24"/>
  <c r="C523" i="24" s="1"/>
  <c r="C147" i="24"/>
  <c r="C341" i="24"/>
  <c r="C540" i="24" s="1"/>
  <c r="C165" i="24"/>
  <c r="C349" i="24"/>
  <c r="C548" i="24" s="1"/>
  <c r="C173" i="24"/>
  <c r="C199" i="24"/>
  <c r="C375" i="24"/>
  <c r="C574" i="24" s="1"/>
  <c r="C355" i="24"/>
  <c r="C554" i="24" s="1"/>
  <c r="C178" i="24"/>
  <c r="C348" i="24"/>
  <c r="C547" i="24" s="1"/>
  <c r="C172" i="24"/>
  <c r="C179" i="24"/>
  <c r="C356" i="24"/>
  <c r="C555" i="24" s="1"/>
  <c r="C101" i="24"/>
  <c r="C124" i="24" s="1"/>
  <c r="C106" i="24"/>
  <c r="C129" i="24" s="1"/>
  <c r="C182" i="24"/>
  <c r="C359" i="24"/>
  <c r="C558" i="24" s="1"/>
  <c r="C805" i="24"/>
  <c r="C973" i="24"/>
  <c r="C974" i="24" s="1"/>
  <c r="C975" i="24" s="1"/>
  <c r="C976" i="24" s="1"/>
  <c r="C977" i="24" s="1"/>
  <c r="C978" i="24" s="1"/>
  <c r="C979" i="24" s="1"/>
  <c r="C980" i="24" s="1"/>
  <c r="C981" i="24" s="1"/>
  <c r="C982" i="24" s="1"/>
  <c r="C983" i="24" s="1"/>
  <c r="C984" i="24" s="1"/>
  <c r="C985" i="24" s="1"/>
  <c r="C347" i="24"/>
  <c r="C546" i="24" s="1"/>
  <c r="C171" i="24"/>
  <c r="E8" i="24" l="1"/>
  <c r="E17" i="24"/>
  <c r="E27" i="24" s="1"/>
  <c r="E37" i="24" s="1"/>
  <c r="E47" i="24" s="1"/>
  <c r="E57" i="24" s="1"/>
  <c r="E67" i="24" s="1"/>
  <c r="E77" i="24" s="1"/>
  <c r="E87" i="24" s="1"/>
  <c r="E97" i="24" s="1"/>
  <c r="E107" i="24" s="1"/>
  <c r="E117" i="24" s="1"/>
  <c r="E127" i="24" s="1"/>
  <c r="E137" i="24" s="1"/>
  <c r="E147" i="24" s="1"/>
  <c r="E157" i="24" s="1"/>
  <c r="E167" i="24" s="1"/>
  <c r="E177" i="24" s="1"/>
  <c r="E286" i="24"/>
  <c r="E289" i="24"/>
  <c r="E293" i="24" s="1"/>
  <c r="E297" i="24" s="1"/>
  <c r="E301" i="24" s="1"/>
  <c r="E305" i="24" s="1"/>
  <c r="E309" i="24" s="1"/>
  <c r="E313" i="24" s="1"/>
  <c r="E317" i="24" s="1"/>
  <c r="E321" i="24" s="1"/>
  <c r="E325" i="24" s="1"/>
  <c r="E329" i="24" s="1"/>
  <c r="E333" i="24" s="1"/>
  <c r="E337" i="24" s="1"/>
  <c r="E341" i="24" s="1"/>
  <c r="E345" i="24" s="1"/>
  <c r="E349" i="24" s="1"/>
  <c r="E353" i="24" s="1"/>
  <c r="E357" i="24" s="1"/>
  <c r="E361" i="24" s="1"/>
  <c r="E365" i="24" s="1"/>
  <c r="E369" i="24" s="1"/>
  <c r="E373" i="24" s="1"/>
  <c r="E377" i="24" s="1"/>
  <c r="E381" i="24" s="1"/>
  <c r="E385" i="24" s="1"/>
  <c r="E389" i="24" s="1"/>
  <c r="E393" i="24" s="1"/>
  <c r="E397" i="24" s="1"/>
  <c r="E401" i="24" s="1"/>
  <c r="E405" i="24" s="1"/>
  <c r="E409" i="24" s="1"/>
  <c r="E413" i="24" s="1"/>
  <c r="E417" i="24" s="1"/>
  <c r="E421" i="24" s="1"/>
  <c r="E425" i="24" s="1"/>
  <c r="E429" i="24" s="1"/>
  <c r="E433" i="24" s="1"/>
  <c r="E437" i="24" s="1"/>
  <c r="E441" i="24" s="1"/>
  <c r="E445" i="24" s="1"/>
  <c r="E449" i="24" s="1"/>
  <c r="E453" i="24" s="1"/>
  <c r="E457" i="24" s="1"/>
  <c r="E461" i="24" s="1"/>
  <c r="E465" i="24" s="1"/>
  <c r="E469" i="24" s="1"/>
  <c r="E473" i="24" s="1"/>
  <c r="E477" i="24" s="1"/>
  <c r="E481" i="24" s="1"/>
  <c r="E485" i="24" s="1"/>
  <c r="E489" i="24" s="1"/>
  <c r="E493" i="24" s="1"/>
  <c r="E497" i="24" s="1"/>
  <c r="E501" i="24" s="1"/>
  <c r="E505" i="24" s="1"/>
  <c r="E509" i="24" s="1"/>
  <c r="E513" i="24" s="1"/>
  <c r="E517" i="24" s="1"/>
  <c r="E521" i="24" s="1"/>
  <c r="E525" i="24" s="1"/>
  <c r="E529" i="24" s="1"/>
  <c r="E533" i="24" s="1"/>
  <c r="E537" i="24" s="1"/>
  <c r="E541" i="24" s="1"/>
  <c r="E545" i="24" s="1"/>
  <c r="E549" i="24" s="1"/>
  <c r="E553" i="24" s="1"/>
  <c r="E557" i="24" s="1"/>
  <c r="E561" i="24" s="1"/>
  <c r="E565" i="24" s="1"/>
  <c r="E569" i="24" s="1"/>
  <c r="E573" i="24" s="1"/>
  <c r="E577" i="24" s="1"/>
  <c r="E581" i="24" s="1"/>
  <c r="E585" i="24" s="1"/>
  <c r="E589" i="24" s="1"/>
  <c r="E593" i="24" s="1"/>
  <c r="E597" i="24" s="1"/>
  <c r="E601" i="24" s="1"/>
  <c r="E605" i="24" s="1"/>
  <c r="E609" i="24" s="1"/>
  <c r="E613" i="24" s="1"/>
  <c r="E617" i="24" s="1"/>
  <c r="E621" i="24" s="1"/>
  <c r="E625" i="24" s="1"/>
  <c r="E629" i="24" s="1"/>
  <c r="E633" i="24" s="1"/>
  <c r="E637" i="24" s="1"/>
  <c r="E641" i="24" s="1"/>
  <c r="E645" i="24" s="1"/>
  <c r="E649" i="24" s="1"/>
  <c r="E653" i="24" s="1"/>
  <c r="E657" i="24" s="1"/>
  <c r="E661" i="24" s="1"/>
  <c r="E665" i="24" s="1"/>
  <c r="E669" i="24" s="1"/>
  <c r="E673" i="24" s="1"/>
  <c r="E677" i="24" s="1"/>
  <c r="E681" i="24" s="1"/>
  <c r="E685" i="24" s="1"/>
  <c r="E689" i="24" s="1"/>
  <c r="E693" i="24" s="1"/>
  <c r="E697" i="24" s="1"/>
  <c r="E701" i="24" s="1"/>
  <c r="E705" i="24" s="1"/>
  <c r="E709" i="24" s="1"/>
  <c r="E713" i="24" s="1"/>
  <c r="C198" i="24"/>
  <c r="C374" i="24"/>
  <c r="C573" i="24" s="1"/>
  <c r="C861" i="24"/>
  <c r="C874" i="24" s="1"/>
  <c r="C887" i="24" s="1"/>
  <c r="C852" i="24"/>
  <c r="C222" i="24"/>
  <c r="C398" i="24"/>
  <c r="C597" i="24" s="1"/>
  <c r="C810" i="24"/>
  <c r="C1000" i="24" s="1"/>
  <c r="C997" i="24"/>
  <c r="C200" i="24"/>
  <c r="C376" i="24"/>
  <c r="C575" i="24" s="1"/>
  <c r="C203" i="24"/>
  <c r="C379" i="24"/>
  <c r="C578" i="24" s="1"/>
  <c r="C188" i="24"/>
  <c r="C364" i="24"/>
  <c r="C563" i="24" s="1"/>
  <c r="C378" i="24"/>
  <c r="C577" i="24" s="1"/>
  <c r="C202" i="24"/>
  <c r="C195" i="24"/>
  <c r="C371" i="24"/>
  <c r="C570" i="24" s="1"/>
  <c r="C205" i="24"/>
  <c r="C381" i="24"/>
  <c r="C580" i="24" s="1"/>
  <c r="C189" i="24"/>
  <c r="C365" i="24"/>
  <c r="C564" i="24" s="1"/>
  <c r="C367" i="24"/>
  <c r="C566" i="24" s="1"/>
  <c r="C191" i="24"/>
  <c r="C206" i="24"/>
  <c r="C382" i="24"/>
  <c r="C581" i="24" s="1"/>
  <c r="C227" i="24"/>
  <c r="C403" i="24"/>
  <c r="C602" i="24" s="1"/>
  <c r="C196" i="24"/>
  <c r="C372" i="24"/>
  <c r="C571" i="24" s="1"/>
  <c r="C323" i="24"/>
  <c r="C522" i="24" s="1"/>
  <c r="C146" i="24"/>
  <c r="C806" i="24"/>
  <c r="C993" i="24"/>
  <c r="C808" i="24"/>
  <c r="C998" i="24" s="1"/>
  <c r="C995" i="24"/>
  <c r="C328" i="24"/>
  <c r="C527" i="24" s="1"/>
  <c r="C151" i="24"/>
  <c r="C366" i="24"/>
  <c r="C565" i="24" s="1"/>
  <c r="C190" i="24"/>
  <c r="C170" i="24"/>
  <c r="C346" i="24"/>
  <c r="C545" i="24" s="1"/>
  <c r="C253" i="24"/>
  <c r="C429" i="24"/>
  <c r="C628" i="24" s="1"/>
  <c r="C194" i="24"/>
  <c r="C370" i="24"/>
  <c r="C569" i="24" s="1"/>
  <c r="C201" i="24"/>
  <c r="C377" i="24"/>
  <c r="C576" i="24" s="1"/>
  <c r="C186" i="24"/>
  <c r="C385" i="24" s="1"/>
  <c r="C584" i="24" s="1"/>
  <c r="C363" i="24"/>
  <c r="C562" i="24" s="1"/>
  <c r="C187" i="24"/>
  <c r="C185" i="24"/>
  <c r="C362" i="24"/>
  <c r="C561" i="24" s="1"/>
  <c r="E287" i="24" l="1"/>
  <c r="E291" i="24" s="1"/>
  <c r="E295" i="24" s="1"/>
  <c r="E299" i="24" s="1"/>
  <c r="E303" i="24" s="1"/>
  <c r="E307" i="24" s="1"/>
  <c r="E311" i="24" s="1"/>
  <c r="E315" i="24" s="1"/>
  <c r="E319" i="24" s="1"/>
  <c r="E323" i="24" s="1"/>
  <c r="E327" i="24" s="1"/>
  <c r="E331" i="24" s="1"/>
  <c r="E335" i="24" s="1"/>
  <c r="E339" i="24" s="1"/>
  <c r="E343" i="24" s="1"/>
  <c r="E347" i="24" s="1"/>
  <c r="E351" i="24" s="1"/>
  <c r="E355" i="24" s="1"/>
  <c r="E359" i="24" s="1"/>
  <c r="E363" i="24" s="1"/>
  <c r="E367" i="24" s="1"/>
  <c r="E371" i="24" s="1"/>
  <c r="E375" i="24" s="1"/>
  <c r="E379" i="24" s="1"/>
  <c r="E383" i="24" s="1"/>
  <c r="E387" i="24" s="1"/>
  <c r="E391" i="24" s="1"/>
  <c r="E395" i="24" s="1"/>
  <c r="E399" i="24" s="1"/>
  <c r="E403" i="24" s="1"/>
  <c r="E407" i="24" s="1"/>
  <c r="E411" i="24" s="1"/>
  <c r="E415" i="24" s="1"/>
  <c r="E419" i="24" s="1"/>
  <c r="E423" i="24" s="1"/>
  <c r="E427" i="24" s="1"/>
  <c r="E431" i="24" s="1"/>
  <c r="E435" i="24" s="1"/>
  <c r="E439" i="24" s="1"/>
  <c r="E443" i="24" s="1"/>
  <c r="E447" i="24" s="1"/>
  <c r="E451" i="24" s="1"/>
  <c r="E455" i="24" s="1"/>
  <c r="E459" i="24" s="1"/>
  <c r="E463" i="24" s="1"/>
  <c r="E467" i="24" s="1"/>
  <c r="E471" i="24" s="1"/>
  <c r="E475" i="24" s="1"/>
  <c r="E479" i="24" s="1"/>
  <c r="E483" i="24" s="1"/>
  <c r="E487" i="24" s="1"/>
  <c r="E491" i="24" s="1"/>
  <c r="E495" i="24" s="1"/>
  <c r="E499" i="24" s="1"/>
  <c r="E503" i="24" s="1"/>
  <c r="E507" i="24" s="1"/>
  <c r="E511" i="24" s="1"/>
  <c r="E515" i="24" s="1"/>
  <c r="E519" i="24" s="1"/>
  <c r="E523" i="24" s="1"/>
  <c r="E527" i="24" s="1"/>
  <c r="E531" i="24" s="1"/>
  <c r="E535" i="24" s="1"/>
  <c r="E539" i="24" s="1"/>
  <c r="E543" i="24" s="1"/>
  <c r="E547" i="24" s="1"/>
  <c r="E551" i="24" s="1"/>
  <c r="E555" i="24" s="1"/>
  <c r="E559" i="24" s="1"/>
  <c r="E563" i="24" s="1"/>
  <c r="E567" i="24" s="1"/>
  <c r="E571" i="24" s="1"/>
  <c r="E575" i="24" s="1"/>
  <c r="E579" i="24" s="1"/>
  <c r="E583" i="24" s="1"/>
  <c r="E587" i="24" s="1"/>
  <c r="E591" i="24" s="1"/>
  <c r="E595" i="24" s="1"/>
  <c r="E599" i="24" s="1"/>
  <c r="E603" i="24" s="1"/>
  <c r="E607" i="24" s="1"/>
  <c r="E611" i="24" s="1"/>
  <c r="E615" i="24" s="1"/>
  <c r="E619" i="24" s="1"/>
  <c r="E623" i="24" s="1"/>
  <c r="E627" i="24" s="1"/>
  <c r="E631" i="24" s="1"/>
  <c r="E635" i="24" s="1"/>
  <c r="E639" i="24" s="1"/>
  <c r="E643" i="24" s="1"/>
  <c r="E647" i="24" s="1"/>
  <c r="E651" i="24" s="1"/>
  <c r="E655" i="24" s="1"/>
  <c r="E659" i="24" s="1"/>
  <c r="E663" i="24" s="1"/>
  <c r="E667" i="24" s="1"/>
  <c r="E671" i="24" s="1"/>
  <c r="E675" i="24" s="1"/>
  <c r="E679" i="24" s="1"/>
  <c r="E683" i="24" s="1"/>
  <c r="E687" i="24" s="1"/>
  <c r="E691" i="24" s="1"/>
  <c r="E695" i="24" s="1"/>
  <c r="E699" i="24" s="1"/>
  <c r="E703" i="24" s="1"/>
  <c r="E707" i="24" s="1"/>
  <c r="E711" i="24" s="1"/>
  <c r="E290" i="24"/>
  <c r="E294" i="24" s="1"/>
  <c r="E298" i="24" s="1"/>
  <c r="E302" i="24" s="1"/>
  <c r="E306" i="24" s="1"/>
  <c r="E310" i="24" s="1"/>
  <c r="E314" i="24" s="1"/>
  <c r="E318" i="24" s="1"/>
  <c r="E322" i="24" s="1"/>
  <c r="E326" i="24" s="1"/>
  <c r="E330" i="24" s="1"/>
  <c r="E334" i="24" s="1"/>
  <c r="E338" i="24" s="1"/>
  <c r="E342" i="24" s="1"/>
  <c r="E346" i="24" s="1"/>
  <c r="E350" i="24" s="1"/>
  <c r="E354" i="24" s="1"/>
  <c r="E358" i="24" s="1"/>
  <c r="E362" i="24" s="1"/>
  <c r="E366" i="24" s="1"/>
  <c r="E370" i="24" s="1"/>
  <c r="E374" i="24" s="1"/>
  <c r="E378" i="24" s="1"/>
  <c r="E382" i="24" s="1"/>
  <c r="E386" i="24" s="1"/>
  <c r="E390" i="24" s="1"/>
  <c r="E394" i="24" s="1"/>
  <c r="E398" i="24" s="1"/>
  <c r="E402" i="24" s="1"/>
  <c r="E406" i="24" s="1"/>
  <c r="E410" i="24" s="1"/>
  <c r="E414" i="24" s="1"/>
  <c r="E418" i="24" s="1"/>
  <c r="E422" i="24" s="1"/>
  <c r="E426" i="24" s="1"/>
  <c r="E430" i="24" s="1"/>
  <c r="E434" i="24" s="1"/>
  <c r="E438" i="24" s="1"/>
  <c r="E442" i="24" s="1"/>
  <c r="E446" i="24" s="1"/>
  <c r="E450" i="24" s="1"/>
  <c r="E454" i="24" s="1"/>
  <c r="E458" i="24" s="1"/>
  <c r="E462" i="24" s="1"/>
  <c r="E466" i="24" s="1"/>
  <c r="E470" i="24" s="1"/>
  <c r="E474" i="24" s="1"/>
  <c r="E478" i="24" s="1"/>
  <c r="E482" i="24" s="1"/>
  <c r="E486" i="24" s="1"/>
  <c r="E490" i="24" s="1"/>
  <c r="E494" i="24" s="1"/>
  <c r="E498" i="24" s="1"/>
  <c r="E502" i="24" s="1"/>
  <c r="E506" i="24" s="1"/>
  <c r="E510" i="24" s="1"/>
  <c r="E514" i="24" s="1"/>
  <c r="E518" i="24" s="1"/>
  <c r="E522" i="24" s="1"/>
  <c r="E526" i="24" s="1"/>
  <c r="E530" i="24" s="1"/>
  <c r="E534" i="24" s="1"/>
  <c r="E538" i="24" s="1"/>
  <c r="E542" i="24" s="1"/>
  <c r="E546" i="24" s="1"/>
  <c r="E550" i="24" s="1"/>
  <c r="E554" i="24" s="1"/>
  <c r="E558" i="24" s="1"/>
  <c r="E562" i="24" s="1"/>
  <c r="E566" i="24" s="1"/>
  <c r="E570" i="24" s="1"/>
  <c r="E574" i="24" s="1"/>
  <c r="E578" i="24" s="1"/>
  <c r="E582" i="24" s="1"/>
  <c r="E586" i="24" s="1"/>
  <c r="E590" i="24" s="1"/>
  <c r="E594" i="24" s="1"/>
  <c r="E598" i="24" s="1"/>
  <c r="E602" i="24" s="1"/>
  <c r="E606" i="24" s="1"/>
  <c r="E610" i="24" s="1"/>
  <c r="E614" i="24" s="1"/>
  <c r="E618" i="24" s="1"/>
  <c r="E622" i="24" s="1"/>
  <c r="E626" i="24" s="1"/>
  <c r="E630" i="24" s="1"/>
  <c r="E634" i="24" s="1"/>
  <c r="E638" i="24" s="1"/>
  <c r="E642" i="24" s="1"/>
  <c r="E646" i="24" s="1"/>
  <c r="E650" i="24" s="1"/>
  <c r="E654" i="24" s="1"/>
  <c r="E658" i="24" s="1"/>
  <c r="E662" i="24" s="1"/>
  <c r="E666" i="24" s="1"/>
  <c r="E670" i="24" s="1"/>
  <c r="E674" i="24" s="1"/>
  <c r="E678" i="24" s="1"/>
  <c r="E682" i="24" s="1"/>
  <c r="E686" i="24" s="1"/>
  <c r="E690" i="24" s="1"/>
  <c r="E694" i="24" s="1"/>
  <c r="E698" i="24" s="1"/>
  <c r="E702" i="24" s="1"/>
  <c r="E706" i="24" s="1"/>
  <c r="E710" i="24" s="1"/>
  <c r="E714" i="24" s="1"/>
  <c r="E9" i="24"/>
  <c r="E18" i="24"/>
  <c r="E28" i="24" s="1"/>
  <c r="E38" i="24" s="1"/>
  <c r="E48" i="24" s="1"/>
  <c r="E58" i="24" s="1"/>
  <c r="E68" i="24" s="1"/>
  <c r="E78" i="24" s="1"/>
  <c r="E88" i="24" s="1"/>
  <c r="E98" i="24" s="1"/>
  <c r="E108" i="24" s="1"/>
  <c r="E118" i="24" s="1"/>
  <c r="E128" i="24" s="1"/>
  <c r="E138" i="24" s="1"/>
  <c r="E148" i="24" s="1"/>
  <c r="E158" i="24" s="1"/>
  <c r="E168" i="24" s="1"/>
  <c r="E178" i="24" s="1"/>
  <c r="C397" i="24"/>
  <c r="C596" i="24" s="1"/>
  <c r="C221" i="24"/>
  <c r="C809" i="24"/>
  <c r="C999" i="24" s="1"/>
  <c r="C996" i="24"/>
  <c r="C211" i="24"/>
  <c r="C388" i="24"/>
  <c r="C587" i="24" s="1"/>
  <c r="C275" i="24"/>
  <c r="C452" i="24"/>
  <c r="C651" i="24" s="1"/>
  <c r="C228" i="24"/>
  <c r="C404" i="24"/>
  <c r="C603" i="24" s="1"/>
  <c r="C219" i="24"/>
  <c r="C395" i="24"/>
  <c r="C594" i="24" s="1"/>
  <c r="C218" i="24"/>
  <c r="C417" i="24" s="1"/>
  <c r="C616" i="24" s="1"/>
  <c r="C224" i="24"/>
  <c r="C400" i="24"/>
  <c r="C599" i="24" s="1"/>
  <c r="C210" i="24"/>
  <c r="C387" i="24"/>
  <c r="C586" i="24" s="1"/>
  <c r="C216" i="24"/>
  <c r="C393" i="24"/>
  <c r="C592" i="24" s="1"/>
  <c r="C369" i="24"/>
  <c r="C568" i="24" s="1"/>
  <c r="C193" i="24"/>
  <c r="C208" i="24"/>
  <c r="C384" i="24"/>
  <c r="C583" i="24" s="1"/>
  <c r="C212" i="24"/>
  <c r="C389" i="24"/>
  <c r="C588" i="24" s="1"/>
  <c r="C209" i="24"/>
  <c r="C386" i="24"/>
  <c r="C585" i="24" s="1"/>
  <c r="C249" i="24"/>
  <c r="C426" i="24"/>
  <c r="C625" i="24" s="1"/>
  <c r="C217" i="24"/>
  <c r="C394" i="24"/>
  <c r="C593" i="24" s="1"/>
  <c r="C244" i="24"/>
  <c r="C421" i="24"/>
  <c r="C620" i="24" s="1"/>
  <c r="C390" i="24"/>
  <c r="C589" i="24" s="1"/>
  <c r="C213" i="24"/>
  <c r="C223" i="24"/>
  <c r="C399" i="24"/>
  <c r="C598" i="24" s="1"/>
  <c r="C853" i="24"/>
  <c r="C862" i="24"/>
  <c r="C875" i="24" s="1"/>
  <c r="C888" i="24" s="1"/>
  <c r="C226" i="24"/>
  <c r="C402" i="24"/>
  <c r="C601" i="24" s="1"/>
  <c r="C169" i="24"/>
  <c r="C345" i="24"/>
  <c r="C544" i="24" s="1"/>
  <c r="C174" i="24"/>
  <c r="C350" i="24"/>
  <c r="C549" i="24" s="1"/>
  <c r="C225" i="24"/>
  <c r="C401" i="24"/>
  <c r="C600" i="24" s="1"/>
  <c r="C229" i="24"/>
  <c r="C405" i="24"/>
  <c r="C604" i="24" s="1"/>
  <c r="E10" i="24" l="1"/>
  <c r="E19" i="24"/>
  <c r="E29" i="24" s="1"/>
  <c r="E39" i="24" s="1"/>
  <c r="E49" i="24" s="1"/>
  <c r="E59" i="24" s="1"/>
  <c r="E69" i="24" s="1"/>
  <c r="E79" i="24" s="1"/>
  <c r="E89" i="24" s="1"/>
  <c r="E99" i="24" s="1"/>
  <c r="E109" i="24" s="1"/>
  <c r="E119" i="24" s="1"/>
  <c r="E129" i="24" s="1"/>
  <c r="E139" i="24" s="1"/>
  <c r="E149" i="24" s="1"/>
  <c r="E159" i="24" s="1"/>
  <c r="E169" i="24" s="1"/>
  <c r="E179" i="24" s="1"/>
  <c r="C420" i="24"/>
  <c r="C619" i="24" s="1"/>
  <c r="C243" i="24"/>
  <c r="C246" i="24"/>
  <c r="C423" i="24"/>
  <c r="C622" i="24" s="1"/>
  <c r="C247" i="24"/>
  <c r="C424" i="24"/>
  <c r="C623" i="24" s="1"/>
  <c r="C368" i="24"/>
  <c r="C567" i="24" s="1"/>
  <c r="C192" i="24"/>
  <c r="C235" i="24"/>
  <c r="C411" i="24"/>
  <c r="C610" i="24" s="1"/>
  <c r="C241" i="24"/>
  <c r="C418" i="24"/>
  <c r="C617" i="24" s="1"/>
  <c r="C231" i="24"/>
  <c r="C407" i="24"/>
  <c r="C606" i="24" s="1"/>
  <c r="C267" i="24"/>
  <c r="C443" i="24"/>
  <c r="C642" i="24" s="1"/>
  <c r="C234" i="24"/>
  <c r="C410" i="24"/>
  <c r="C609" i="24" s="1"/>
  <c r="C854" i="24"/>
  <c r="C863" i="24"/>
  <c r="C876" i="24" s="1"/>
  <c r="C889" i="24" s="1"/>
  <c r="C236" i="24"/>
  <c r="C412" i="24"/>
  <c r="C611" i="24" s="1"/>
  <c r="C197" i="24"/>
  <c r="C373" i="24"/>
  <c r="C572" i="24" s="1"/>
  <c r="C215" i="24"/>
  <c r="C392" i="24"/>
  <c r="C591" i="24" s="1"/>
  <c r="C248" i="24"/>
  <c r="C425" i="24"/>
  <c r="C624" i="24" s="1"/>
  <c r="C233" i="24"/>
  <c r="C409" i="24"/>
  <c r="C608" i="24" s="1"/>
  <c r="C252" i="24"/>
  <c r="C428" i="24"/>
  <c r="C627" i="24" s="1"/>
  <c r="C232" i="24"/>
  <c r="C408" i="24"/>
  <c r="C607" i="24" s="1"/>
  <c r="C245" i="24"/>
  <c r="C422" i="24"/>
  <c r="C621" i="24" s="1"/>
  <c r="C427" i="24"/>
  <c r="C626" i="24" s="1"/>
  <c r="C251" i="24"/>
  <c r="C250" i="24"/>
  <c r="C449" i="24" s="1"/>
  <c r="C648" i="24" s="1"/>
  <c r="C298" i="24"/>
  <c r="C497" i="24" s="1"/>
  <c r="C696" i="24" s="1"/>
  <c r="C474" i="24"/>
  <c r="C673" i="24" s="1"/>
  <c r="C240" i="24"/>
  <c r="C416" i="24"/>
  <c r="C615" i="24" s="1"/>
  <c r="C239" i="24"/>
  <c r="C415" i="24"/>
  <c r="C614" i="24" s="1"/>
  <c r="C272" i="24"/>
  <c r="C448" i="24"/>
  <c r="C647" i="24" s="1"/>
  <c r="E11" i="24" l="1"/>
  <c r="E20" i="24"/>
  <c r="E30" i="24" s="1"/>
  <c r="E40" i="24" s="1"/>
  <c r="E50" i="24" s="1"/>
  <c r="E60" i="24" s="1"/>
  <c r="E70" i="24" s="1"/>
  <c r="E80" i="24" s="1"/>
  <c r="E90" i="24" s="1"/>
  <c r="E100" i="24" s="1"/>
  <c r="E110" i="24" s="1"/>
  <c r="E120" i="24" s="1"/>
  <c r="E130" i="24" s="1"/>
  <c r="E140" i="24" s="1"/>
  <c r="E150" i="24" s="1"/>
  <c r="E160" i="24" s="1"/>
  <c r="E170" i="24" s="1"/>
  <c r="E180" i="24" s="1"/>
  <c r="C442" i="24"/>
  <c r="C641" i="24" s="1"/>
  <c r="C266" i="24"/>
  <c r="C295" i="24"/>
  <c r="C494" i="24" s="1"/>
  <c r="C693" i="24" s="1"/>
  <c r="C471" i="24"/>
  <c r="C670" i="24" s="1"/>
  <c r="C255" i="24"/>
  <c r="C431" i="24"/>
  <c r="C630" i="24" s="1"/>
  <c r="C262" i="24"/>
  <c r="C438" i="24"/>
  <c r="C637" i="24" s="1"/>
  <c r="C214" i="24"/>
  <c r="C391" i="24"/>
  <c r="C590" i="24" s="1"/>
  <c r="C274" i="24"/>
  <c r="C451" i="24"/>
  <c r="C650" i="24" s="1"/>
  <c r="C257" i="24"/>
  <c r="C433" i="24"/>
  <c r="C632" i="24" s="1"/>
  <c r="C220" i="24"/>
  <c r="C396" i="24"/>
  <c r="C595" i="24" s="1"/>
  <c r="C259" i="24"/>
  <c r="C435" i="24"/>
  <c r="C634" i="24" s="1"/>
  <c r="C256" i="24"/>
  <c r="C432" i="24"/>
  <c r="C631" i="24" s="1"/>
  <c r="C271" i="24"/>
  <c r="C447" i="24"/>
  <c r="C646" i="24" s="1"/>
  <c r="C290" i="24"/>
  <c r="C466" i="24"/>
  <c r="C665" i="24" s="1"/>
  <c r="C270" i="24"/>
  <c r="C446" i="24"/>
  <c r="C645" i="24" s="1"/>
  <c r="C264" i="24"/>
  <c r="C440" i="24"/>
  <c r="C639" i="24" s="1"/>
  <c r="C258" i="24"/>
  <c r="C434" i="24"/>
  <c r="C633" i="24" s="1"/>
  <c r="C263" i="24"/>
  <c r="C439" i="24"/>
  <c r="C638" i="24" s="1"/>
  <c r="C268" i="24"/>
  <c r="C444" i="24"/>
  <c r="C643" i="24" s="1"/>
  <c r="C855" i="24"/>
  <c r="C864" i="24"/>
  <c r="C877" i="24" s="1"/>
  <c r="C890" i="24" s="1"/>
  <c r="C273" i="24"/>
  <c r="C450" i="24"/>
  <c r="C649" i="24" s="1"/>
  <c r="C238" i="24"/>
  <c r="C414" i="24"/>
  <c r="C613" i="24" s="1"/>
  <c r="C254" i="24"/>
  <c r="C430" i="24"/>
  <c r="C629" i="24" s="1"/>
  <c r="C269" i="24"/>
  <c r="C445" i="24"/>
  <c r="C644" i="24" s="1"/>
  <c r="E12" i="24" l="1"/>
  <c r="E22" i="24" s="1"/>
  <c r="E32" i="24" s="1"/>
  <c r="E42" i="24" s="1"/>
  <c r="E52" i="24" s="1"/>
  <c r="E62" i="24" s="1"/>
  <c r="E72" i="24" s="1"/>
  <c r="E82" i="24" s="1"/>
  <c r="E92" i="24" s="1"/>
  <c r="E102" i="24" s="1"/>
  <c r="E112" i="24" s="1"/>
  <c r="E122" i="24" s="1"/>
  <c r="E132" i="24" s="1"/>
  <c r="E142" i="24" s="1"/>
  <c r="E152" i="24" s="1"/>
  <c r="E162" i="24" s="1"/>
  <c r="E172" i="24" s="1"/>
  <c r="E182" i="24" s="1"/>
  <c r="E21" i="24"/>
  <c r="E31" i="24" s="1"/>
  <c r="E41" i="24" s="1"/>
  <c r="E51" i="24" s="1"/>
  <c r="E61" i="24" s="1"/>
  <c r="E71" i="24" s="1"/>
  <c r="E81" i="24" s="1"/>
  <c r="E91" i="24" s="1"/>
  <c r="E101" i="24" s="1"/>
  <c r="E111" i="24" s="1"/>
  <c r="E121" i="24" s="1"/>
  <c r="E131" i="24" s="1"/>
  <c r="E141" i="24" s="1"/>
  <c r="E151" i="24" s="1"/>
  <c r="E161" i="24" s="1"/>
  <c r="E171" i="24" s="1"/>
  <c r="E181" i="24" s="1"/>
  <c r="C465" i="24"/>
  <c r="C664" i="24" s="1"/>
  <c r="C289" i="24"/>
  <c r="C279" i="24"/>
  <c r="C456" i="24"/>
  <c r="C655" i="24" s="1"/>
  <c r="C865" i="24"/>
  <c r="C878" i="24" s="1"/>
  <c r="C891" i="24" s="1"/>
  <c r="C868" i="24"/>
  <c r="C881" i="24" s="1"/>
  <c r="C894" i="24" s="1"/>
  <c r="C856" i="24"/>
  <c r="C292" i="24"/>
  <c r="C468" i="24"/>
  <c r="C667" i="24" s="1"/>
  <c r="C296" i="24"/>
  <c r="C495" i="24" s="1"/>
  <c r="C694" i="24" s="1"/>
  <c r="C472" i="24"/>
  <c r="C671" i="24" s="1"/>
  <c r="C294" i="24"/>
  <c r="C493" i="24" s="1"/>
  <c r="C692" i="24" s="1"/>
  <c r="C470" i="24"/>
  <c r="C669" i="24" s="1"/>
  <c r="C286" i="24"/>
  <c r="C462" i="24"/>
  <c r="C661" i="24" s="1"/>
  <c r="C280" i="24"/>
  <c r="C457" i="24"/>
  <c r="C656" i="24" s="1"/>
  <c r="C281" i="24"/>
  <c r="C458" i="24"/>
  <c r="C657" i="24" s="1"/>
  <c r="C277" i="24"/>
  <c r="C454" i="24"/>
  <c r="C653" i="24" s="1"/>
  <c r="C312" i="24"/>
  <c r="C511" i="24" s="1"/>
  <c r="C489" i="24"/>
  <c r="C688" i="24" s="1"/>
  <c r="C297" i="24"/>
  <c r="C496" i="24" s="1"/>
  <c r="C695" i="24" s="1"/>
  <c r="C473" i="24"/>
  <c r="C672" i="24" s="1"/>
  <c r="C291" i="24"/>
  <c r="C467" i="24"/>
  <c r="C666" i="24" s="1"/>
  <c r="C285" i="24"/>
  <c r="C461" i="24"/>
  <c r="C660" i="24" s="1"/>
  <c r="C293" i="24"/>
  <c r="C492" i="24" s="1"/>
  <c r="C691" i="24" s="1"/>
  <c r="C469" i="24"/>
  <c r="C668" i="24" s="1"/>
  <c r="C237" i="24"/>
  <c r="C413" i="24"/>
  <c r="C612" i="24" s="1"/>
  <c r="C278" i="24"/>
  <c r="C455" i="24"/>
  <c r="C654" i="24" s="1"/>
  <c r="C276" i="24"/>
  <c r="C453" i="24"/>
  <c r="C652" i="24" s="1"/>
  <c r="C261" i="24"/>
  <c r="C437" i="24"/>
  <c r="C636" i="24" s="1"/>
  <c r="C287" i="24"/>
  <c r="C463" i="24"/>
  <c r="C662" i="24" s="1"/>
  <c r="C419" i="24"/>
  <c r="C618" i="24" s="1"/>
  <c r="C242" i="24"/>
  <c r="C311" i="24" l="1"/>
  <c r="C510" i="24" s="1"/>
  <c r="C488" i="24"/>
  <c r="C687" i="24" s="1"/>
  <c r="C313" i="24"/>
  <c r="C512" i="24" s="1"/>
  <c r="C490" i="24"/>
  <c r="C689" i="24" s="1"/>
  <c r="C284" i="24"/>
  <c r="C460" i="24"/>
  <c r="C659" i="24" s="1"/>
  <c r="C299" i="24"/>
  <c r="C498" i="24" s="1"/>
  <c r="C697" i="24" s="1"/>
  <c r="C475" i="24"/>
  <c r="C674" i="24" s="1"/>
  <c r="C301" i="24"/>
  <c r="C500" i="24" s="1"/>
  <c r="C699" i="24" s="1"/>
  <c r="C477" i="24"/>
  <c r="C676" i="24" s="1"/>
  <c r="C869" i="24"/>
  <c r="C882" i="24" s="1"/>
  <c r="C895" i="24" s="1"/>
  <c r="C866" i="24"/>
  <c r="C879" i="24" s="1"/>
  <c r="C892" i="24" s="1"/>
  <c r="C857" i="24"/>
  <c r="C260" i="24"/>
  <c r="C436" i="24"/>
  <c r="C635" i="24" s="1"/>
  <c r="C491" i="24"/>
  <c r="C690" i="24" s="1"/>
  <c r="C315" i="24"/>
  <c r="C514" i="24" s="1"/>
  <c r="C314" i="24"/>
  <c r="C513" i="24" s="1"/>
  <c r="C304" i="24"/>
  <c r="C503" i="24" s="1"/>
  <c r="C702" i="24" s="1"/>
  <c r="C480" i="24"/>
  <c r="C679" i="24" s="1"/>
  <c r="C307" i="24"/>
  <c r="C506" i="24" s="1"/>
  <c r="C705" i="24" s="1"/>
  <c r="C484" i="24"/>
  <c r="C683" i="24" s="1"/>
  <c r="C303" i="24"/>
  <c r="C502" i="24" s="1"/>
  <c r="C701" i="24" s="1"/>
  <c r="C479" i="24"/>
  <c r="C678" i="24" s="1"/>
  <c r="C308" i="24"/>
  <c r="C507" i="24" s="1"/>
  <c r="C485" i="24"/>
  <c r="C684" i="24" s="1"/>
  <c r="C300" i="24"/>
  <c r="C499" i="24" s="1"/>
  <c r="C698" i="24" s="1"/>
  <c r="C476" i="24"/>
  <c r="C675" i="24" s="1"/>
  <c r="C265" i="24"/>
  <c r="C441" i="24"/>
  <c r="C640" i="24" s="1"/>
  <c r="C309" i="24"/>
  <c r="C508" i="24" s="1"/>
  <c r="C486" i="24"/>
  <c r="C685" i="24" s="1"/>
  <c r="C302" i="24"/>
  <c r="C501" i="24" s="1"/>
  <c r="C700" i="24" s="1"/>
  <c r="C478" i="24"/>
  <c r="C677" i="24" s="1"/>
  <c r="C459" i="24" l="1"/>
  <c r="C658" i="24" s="1"/>
  <c r="C282" i="24"/>
  <c r="C481" i="24" s="1"/>
  <c r="C680" i="24" s="1"/>
  <c r="C283" i="24"/>
  <c r="C858" i="24"/>
  <c r="C870" i="24"/>
  <c r="C883" i="24" s="1"/>
  <c r="C896" i="24" s="1"/>
  <c r="C867" i="24"/>
  <c r="C880" i="24" s="1"/>
  <c r="C893" i="24" s="1"/>
  <c r="C306" i="24"/>
  <c r="C505" i="24" s="1"/>
  <c r="C704" i="24" s="1"/>
  <c r="C483" i="24"/>
  <c r="C682" i="24" s="1"/>
  <c r="C288" i="24"/>
  <c r="C464" i="24"/>
  <c r="C663" i="24" s="1"/>
  <c r="C310" i="24" l="1"/>
  <c r="C509" i="24" s="1"/>
  <c r="C487" i="24"/>
  <c r="C686" i="24" s="1"/>
  <c r="C305" i="24"/>
  <c r="C504" i="24" s="1"/>
  <c r="C703" i="24" s="1"/>
  <c r="C482" i="24"/>
  <c r="C681" i="24" s="1"/>
  <c r="C859" i="24"/>
  <c r="C871" i="24"/>
  <c r="C884" i="24" s="1"/>
  <c r="C897" i="24" s="1"/>
  <c r="C860" i="24" l="1"/>
  <c r="C873" i="24" s="1"/>
  <c r="C886" i="24" s="1"/>
  <c r="C872" i="24"/>
  <c r="C885" i="24" s="1"/>
  <c r="C898" i="2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<sst xmlns="http://schemas.openxmlformats.org/spreadsheetml/2006/main" count="4520" uniqueCount="730">
  <si>
    <t>Business Name</t>
  </si>
  <si>
    <t>Reporting Year</t>
  </si>
  <si>
    <t>Other Income</t>
  </si>
  <si>
    <t>Other expenses</t>
  </si>
  <si>
    <t>Dividends</t>
  </si>
  <si>
    <t>Class</t>
  </si>
  <si>
    <t>Account Description</t>
  </si>
  <si>
    <t>ASSETS</t>
  </si>
  <si>
    <t>Investments</t>
  </si>
  <si>
    <t>EQUITY &amp; LIABILITIES</t>
  </si>
  <si>
    <t>Equity</t>
  </si>
  <si>
    <t>Non-current liabilities</t>
  </si>
  <si>
    <t>Retained earnings</t>
  </si>
  <si>
    <t>Non-current assets</t>
  </si>
  <si>
    <t>Current assets</t>
  </si>
  <si>
    <t>Total assets</t>
  </si>
  <si>
    <t>Current liabilities</t>
  </si>
  <si>
    <t>Bank overdraft</t>
  </si>
  <si>
    <t>Interest payable</t>
  </si>
  <si>
    <t>Total liabilities</t>
  </si>
  <si>
    <t>Total equity &amp; liabilities</t>
  </si>
  <si>
    <t>Cash flows from operating activities</t>
  </si>
  <si>
    <t>Net cash from operating activities</t>
  </si>
  <si>
    <t>Cash flows from investing activities</t>
  </si>
  <si>
    <t>Cash generated from operations</t>
  </si>
  <si>
    <t>Interest paid</t>
  </si>
  <si>
    <t>Income tax paid</t>
  </si>
  <si>
    <t>Net cash used in investing activities</t>
  </si>
  <si>
    <t>Cash flows from financing activities</t>
  </si>
  <si>
    <t>Dividends paid</t>
  </si>
  <si>
    <t>Net cash used in financing activities</t>
  </si>
  <si>
    <t>Trade debtors</t>
  </si>
  <si>
    <t>Cash on hand</t>
  </si>
  <si>
    <t>Acc No</t>
  </si>
  <si>
    <t>Advertising &amp; Marketing</t>
  </si>
  <si>
    <t>Other Expenses</t>
  </si>
  <si>
    <t>Interest Paid</t>
  </si>
  <si>
    <t>Description</t>
  </si>
  <si>
    <t>Trade Debtors</t>
  </si>
  <si>
    <t>Long term loans</t>
  </si>
  <si>
    <t>Finance leases</t>
  </si>
  <si>
    <t>Trade Creditors</t>
  </si>
  <si>
    <t>Dividends payable</t>
  </si>
  <si>
    <t>Gross profit</t>
  </si>
  <si>
    <t>Cost of sales</t>
  </si>
  <si>
    <t>Deferred tax</t>
  </si>
  <si>
    <t>Profit / (Loss) before tax</t>
  </si>
  <si>
    <t>Income Statement</t>
  </si>
  <si>
    <t>Balance Sheet - Assets</t>
  </si>
  <si>
    <t>Balance Sheet - Equity</t>
  </si>
  <si>
    <t>Balance Sheet - Liabilities</t>
  </si>
  <si>
    <t>Instructions</t>
  </si>
  <si>
    <t>Troubleshooting</t>
  </si>
  <si>
    <t>Help &amp; Customization</t>
  </si>
  <si>
    <t>Year End Date</t>
  </si>
  <si>
    <t>Diff</t>
  </si>
  <si>
    <t>Diff%</t>
  </si>
  <si>
    <t>Gross profit %</t>
  </si>
  <si>
    <t>- Income taxes</t>
  </si>
  <si>
    <t>- Depreciation</t>
  </si>
  <si>
    <t>- Amortisation</t>
  </si>
  <si>
    <t>Accounting Fees</t>
  </si>
  <si>
    <t>Bank Charges</t>
  </si>
  <si>
    <t>Commission</t>
  </si>
  <si>
    <t>Computer Expenses</t>
  </si>
  <si>
    <t>Consumables &amp; Cleaning</t>
  </si>
  <si>
    <t>Entertainment</t>
  </si>
  <si>
    <t>Insurance</t>
  </si>
  <si>
    <t>Office Expenses</t>
  </si>
  <si>
    <t>Office Rent</t>
  </si>
  <si>
    <t>Postage</t>
  </si>
  <si>
    <t>Professional &amp; Legal Fees</t>
  </si>
  <si>
    <t>Stationery</t>
  </si>
  <si>
    <t>Subscriptions &amp; Memberships</t>
  </si>
  <si>
    <t>Telephone &amp; Internet</t>
  </si>
  <si>
    <t>Training</t>
  </si>
  <si>
    <t>Travelling &amp; Accommodation</t>
  </si>
  <si>
    <t>Utilities</t>
  </si>
  <si>
    <t>Depreciation</t>
  </si>
  <si>
    <t>Taxation</t>
  </si>
  <si>
    <t>Inventory</t>
  </si>
  <si>
    <t>Retained earnings at start of period</t>
  </si>
  <si>
    <t>Retained earnings at end of period</t>
  </si>
  <si>
    <t>Profit / (Loss) for the period</t>
  </si>
  <si>
    <t>Non-cash income and expenses:</t>
  </si>
  <si>
    <t>Cash equivalents at beginning of period</t>
  </si>
  <si>
    <t>Cash equivalents at end of period</t>
  </si>
  <si>
    <t>Net increase / (decrease) in cash</t>
  </si>
  <si>
    <t>Dividends Received</t>
  </si>
  <si>
    <t>Interest Received</t>
  </si>
  <si>
    <t>Interest Payable</t>
  </si>
  <si>
    <t>Dividends Payable</t>
  </si>
  <si>
    <t>Default Reporting Classes</t>
  </si>
  <si>
    <t>If you require additional lines to be included on the income statement, cash flow statement or balance sheet, you may need to create additional reporting codes as main income statement or balance sheet categories or as sub codes below the existing reporting class codes.</t>
  </si>
  <si>
    <t>Amount</t>
  </si>
  <si>
    <t>Check</t>
  </si>
  <si>
    <t>Trial Balance Sequence Check</t>
  </si>
  <si>
    <t>Expense Accounts</t>
  </si>
  <si>
    <t>Cash Flow Statement</t>
  </si>
  <si>
    <t>If you want to remove a line from the cash flow statement, we strongly recommend that you hide the appropriate line instead of deleting it. If you delete cells which are used in some of the other cash flow statement calculations, you may encounter a calculation error in some of the other rows on the report.</t>
  </si>
  <si>
    <t>Balance Sheet</t>
  </si>
  <si>
    <t>If you want to remove a line from the balance sheet, we strongly recommend that you hide the appropriate line instead of deleting it. If you delete cells which are used in some of the other balance sheet calculations, you may encounter a calculation error in some of the other rows or on the cash flow statement.</t>
  </si>
  <si>
    <t>Roll Forward</t>
  </si>
  <si>
    <t>© Copyright</t>
  </si>
  <si>
    <t>Land &amp; Buildings - Cost</t>
  </si>
  <si>
    <t>Plant &amp; Equipment - Cost</t>
  </si>
  <si>
    <t>Furniture &amp; Fittings - Cost</t>
  </si>
  <si>
    <t>Land &amp; Buildings - Accum Depreciation</t>
  </si>
  <si>
    <t>Plant &amp; Equipment - Accum Depreciation</t>
  </si>
  <si>
    <t>Furniture &amp; Fittings - Accum Depreciation</t>
  </si>
  <si>
    <t>Goodwill - Cost</t>
  </si>
  <si>
    <t>Trademarks - Cost</t>
  </si>
  <si>
    <t>Software - Cost</t>
  </si>
  <si>
    <t>Goodwill - Accum Amortization</t>
  </si>
  <si>
    <t>Trademarks - Accum Amortization</t>
  </si>
  <si>
    <t>Software - Accum Amortization</t>
  </si>
  <si>
    <t>Bank Overdraft</t>
  </si>
  <si>
    <t>Prepayments</t>
  </si>
  <si>
    <t>Raw Materials</t>
  </si>
  <si>
    <t>Work in progress</t>
  </si>
  <si>
    <t>Finished goods</t>
  </si>
  <si>
    <t>Accruals</t>
  </si>
  <si>
    <t>Finance Leases</t>
  </si>
  <si>
    <t>Deferred Tax</t>
  </si>
  <si>
    <t>Trial Balance</t>
  </si>
  <si>
    <t>This template enables users to compare financial results for 3 annual periods. The user is required to add the appropriate annual trial balances to the template and to link each account on the trial balance to a pre-defined financial statement reporting class. The template produces automated financial reports consisting of an income statement, cash flow statement and balance sheet based on the linked trial balances and compares all amounts on the financial reports between annual periods in terms of the difference in value and percentage.</t>
  </si>
  <si>
    <t>Note: All the accounts that are included in your trial balance should be entered in a continuous cell range on the TB sheet - there should not be any blank rows or columns in between account numbers or financial periods otherwise all the accounts or periods may not be included in the financial statement calculations and your balance sheet may therefore not balance!</t>
  </si>
  <si>
    <t>We have also included totals above the column headings which will indicate if the sum of the account balances for any annual period does not equal nil. If the total of all the account balances in a trial balance does not equal nil, it means that the financial statements will not be accurate and that the balance sheet will probably not balance. You should therefore always ensure that the trial balance for each annual period adds up to a nil value.</t>
  </si>
  <si>
    <t>Adding new financial periods</t>
  </si>
  <si>
    <t>Trial balance check &amp; import</t>
  </si>
  <si>
    <t>The following steps need to be completed in order to ensure that the trial balance for the new financial period is correctly included on the TB sheet:</t>
  </si>
  <si>
    <t>■ Sort the data on the TB sheet in an ascending order based on the account number in column B.</t>
  </si>
  <si>
    <t>■ Sort the data on the trial balance export file in an ascending order based on the account number column.</t>
  </si>
  <si>
    <t>■ Copy cells D5 and E5 and paste these cells into all the rows in column D and E that contain account numbers. Note that these two cells contain formulas and formatting that will assist you in identifying new accounts or changes that need to be made to the sequence of the accounts in the export file.</t>
  </si>
  <si>
    <t>■ Rounding errors can be corrected by amending the trial balance amounts of selected accounts in column C. When the red cell background is removed from the total calculation and the "error" text is replaced by an "ok" message, it means that the trial balance has been corrected.</t>
  </si>
  <si>
    <t>Rounding in financial statements</t>
  </si>
  <si>
    <t>The TB sheet contains five financial years by default and in most instances, these financial years will represent the financial periods that the user requires. If you are however performing an analysis of previous periods, you may need to change the financial year headings on the TB sheet. The automated income statement, cash flow statement and balance sheet will automatically pick up the appropriate trial balance amounts based on the year headings that you specify on the TB sheet.</t>
  </si>
  <si>
    <t>After using the template to compile your first set of financial reports, you can add subsequent financial periods by simply copying the last column on the TB sheet to the next available column, changing the column heading to the next financial year and clearing all the account balances in the new column (we recommend replacing the existing values with nil values before entering or copying the appropriate account balances into the new column).</t>
  </si>
  <si>
    <t>If you use a trail balance export file in order to compile your financial reports, the trial balance export will have to be converted so that the account numbers are in the exact same sequence as the accounts on the TB sheet before you will be able to copy the balances onto the TB sheet. This is an absolute necessity in order to ensure that the correct account balances are included next to the correct account number.</t>
  </si>
  <si>
    <t>New accounts may also have been added during the current financial period which may not be included in the previous trial balance on the TB sheet. These accounts therefore need to be identified and inserted in the correct row position before the account balances can be copied. This could be quite a time consuming exercise and we have therefore created the TBCheck sheet to assist users in simplifying this exercise.</t>
  </si>
  <si>
    <t>■ Compare the contents of all the rows that contain errors by comparing the account sequence on the TBCheck sheet with the account sequence on the TB sheet.</t>
  </si>
  <si>
    <t>■ Copy the account number, account description and account balance from the export file and paste the data into column A to C on the TBCheck sheet (replace the existing data on this sheet).</t>
  </si>
  <si>
    <t>■ Review the contents in column D - a row that contains a light blue "ok" cell is in the correct sequence but if an "error" is displayed in orange, it means that the sequence of accounts on the TBCheck sheet is not the same as the accounts on the TB sheet.</t>
  </si>
  <si>
    <t>■ Where an account is included on the TBCheck sheet but not on the TB sheet, insert a new row on the TB sheet, copy the account number and description into column B and C and enter a nil value into all the columns that relate to previous financial years. After completing these steps, the error in the particular row will automatically be removed from the TBCheck sheet.</t>
  </si>
  <si>
    <t>■ Where an account is included on the TB sheet but not on the TBCheck sheet, insert a new row on the TBCheck sheet, copy the account number &amp; description from the TB sheet and copy the formulas in column D and E from one of the existing rows. Column D should now contain a light blue "ok" message.</t>
  </si>
  <si>
    <t>■ Repeat the previous two steps until the TBCheck sheet contains no errors.</t>
  </si>
  <si>
    <t>■ If the column E total is not nil and the difference cannot be attributable to rounding, review your trial balance export and make sure that the total of the export file is in fact nil. Also review the TBCheck sheet and ensure that all the accounts on the trial balance export have been added to this sheet.</t>
  </si>
  <si>
    <t>■ The amounts in column E can now be copied and pasted as values into the appropriate column (for the new period) on the TB sheet. After completing this step, the trial balance has successfully been added to the template.</t>
  </si>
  <si>
    <t>Rounding can have a significant impact on financial reports because the amounts that are displayed on the financial reports may not always add up to the totals that are displayed. Even the most insignificant of errors could result in financial reports appearing to be inaccurate.</t>
  </si>
  <si>
    <t>Checking all the calculations in financial reports and making the appropriate adjustments could be quite a time consuming and cumbersome approach and we therefore recommend making the required adjustments on a trial balance level instead. This approach will ensure that the calculations that are included in the financial reports are always accurate.</t>
  </si>
  <si>
    <t>This approach is followed in the calculations in column E on the TBCheck sheet in that the trial balance amounts in column C are rounded to the nearest integer value in column E. If you therefore use the TBCheck sheet to round all the amounts on the trial balance to the nearest integer values before correcting any rounding differences that may exist and copying &amp; pasting the values onto the TB sheet, your financial reports are guaranteed to be accurate. We therefore recommend always using the TBCheck sheet before including the appropriate trial balance amounts for a new financial period on the TB sheet.</t>
  </si>
  <si>
    <t>The problem with rounding in financial reporting terms is that a trial balance typically includes two decimal values while financial reports are typically compiled to the nearest integer value. When two amounts that contain decimal values are rounded and added, the result is not necessarily the same as the rounded value of the total but if the decimal values are rounded to the nearest integer value and then added together, the total that is calculated is guaranteed to be accurate.</t>
  </si>
  <si>
    <t>Adding new reporting classes</t>
  </si>
  <si>
    <t>Adding Financial Periods</t>
  </si>
  <si>
    <t>The template has been designed to incorporate 3 financial years in the default design. The formulas have however been designed in such a way that it is relatively easy to add additional financial years to the template.</t>
  </si>
  <si>
    <t>Example: You can add a fourth financial year to the template by copying columns H to J on the income statement, cash flow statement and balance sheet and pasting these copied columns into columns L to N. Note that one column (K) is left blank.</t>
  </si>
  <si>
    <t>Example: You can add a fifth financial year to the template by copying columns L to N on the income statement, cash flow statement and balance sheet and pasting these copied columns into columns P to R. Note that one column (O) is left blank.</t>
  </si>
  <si>
    <t>Additional financial years can basically be added by copying the data in columns H to J on the income statement, cash flow statement and balance sheet and pasting the columns into the same relative position as they are when compared to the copied columns. This essentially means that one column should be left blank after each copied column range.</t>
  </si>
  <si>
    <t>■ Check whether the total for the appropriate trial balance is nil (refer to the totals above the column heading row on the TB sheet for the appropriate financial year).</t>
  </si>
  <si>
    <t>■ If you encounter a #REF! error anywhere in the template, it means that you've deleted a row which is used in the formulas that have been included in another row. As we stated earlier on in these instructions, you should rather hide a row instead of deleting it in order to remove the appropriate row from the financial reports. If you've deleted a row which you shouldn't have, you may have to revert back to the downloaded copy of the template or contact our support function for assistance.</t>
  </si>
  <si>
    <t>I-01G</t>
  </si>
  <si>
    <t>Turnover</t>
  </si>
  <si>
    <t>I-02G</t>
  </si>
  <si>
    <t>I-03G</t>
  </si>
  <si>
    <t>Operating expenses</t>
  </si>
  <si>
    <t>I-0301G</t>
  </si>
  <si>
    <t>Accounting fees</t>
  </si>
  <si>
    <t>I-0302G</t>
  </si>
  <si>
    <t>Advertising &amp; marketing</t>
  </si>
  <si>
    <t>I-0303G</t>
  </si>
  <si>
    <t>Bank charges</t>
  </si>
  <si>
    <t>I-0304G</t>
  </si>
  <si>
    <t>I-0305G</t>
  </si>
  <si>
    <t>Computer expenses</t>
  </si>
  <si>
    <t>I-0306G</t>
  </si>
  <si>
    <t>Consumables &amp; cleaning</t>
  </si>
  <si>
    <t>I-0307G</t>
  </si>
  <si>
    <t>I-0308G</t>
  </si>
  <si>
    <t>I-0309G</t>
  </si>
  <si>
    <t>Office expenses</t>
  </si>
  <si>
    <t>I-0310G</t>
  </si>
  <si>
    <t>Office rent</t>
  </si>
  <si>
    <t>I-0311G</t>
  </si>
  <si>
    <t>I-0312G</t>
  </si>
  <si>
    <t>Professional &amp; legal fees</t>
  </si>
  <si>
    <t>I-0313G</t>
  </si>
  <si>
    <t>I-0314G</t>
  </si>
  <si>
    <t>Subscriptions &amp; memberships</t>
  </si>
  <si>
    <t>I-0315G</t>
  </si>
  <si>
    <t>Telephone &amp; internet</t>
  </si>
  <si>
    <t>I-0316G</t>
  </si>
  <si>
    <t>I-0317G</t>
  </si>
  <si>
    <t>Travelling &amp; accommodation</t>
  </si>
  <si>
    <t>I-0318G</t>
  </si>
  <si>
    <t>I-04G</t>
  </si>
  <si>
    <t>Staff costs</t>
  </si>
  <si>
    <t>I-0401G</t>
  </si>
  <si>
    <t>I-05G</t>
  </si>
  <si>
    <t>Depreciation &amp; amortization</t>
  </si>
  <si>
    <t>I-0501G</t>
  </si>
  <si>
    <t>I-0502G</t>
  </si>
  <si>
    <t>I-06G</t>
  </si>
  <si>
    <t>I-07G</t>
  </si>
  <si>
    <t>Taxation paid</t>
  </si>
  <si>
    <t>I-08G</t>
  </si>
  <si>
    <t>I-09G</t>
  </si>
  <si>
    <t>Other income</t>
  </si>
  <si>
    <t>I-10G</t>
  </si>
  <si>
    <t>B-00G</t>
  </si>
  <si>
    <t>Property, plant &amp; equipment - cost</t>
  </si>
  <si>
    <t>B-01G</t>
  </si>
  <si>
    <t>Property, plant &amp; equipment - accum dep</t>
  </si>
  <si>
    <t>B-02G</t>
  </si>
  <si>
    <t>Intangible assets - cost</t>
  </si>
  <si>
    <t>B-03G</t>
  </si>
  <si>
    <t>Intangible assets - amortization</t>
  </si>
  <si>
    <t>B-05G</t>
  </si>
  <si>
    <t>Loans &amp; advances</t>
  </si>
  <si>
    <t>B-06G</t>
  </si>
  <si>
    <t>B-07G</t>
  </si>
  <si>
    <t>B-08G</t>
  </si>
  <si>
    <t>B-09G</t>
  </si>
  <si>
    <t>Other debtors</t>
  </si>
  <si>
    <t>B-10G</t>
  </si>
  <si>
    <t>B-11G</t>
  </si>
  <si>
    <t>B-12G</t>
  </si>
  <si>
    <t>Trade creditors</t>
  </si>
  <si>
    <t>B-13G</t>
  </si>
  <si>
    <t>B-14G</t>
  </si>
  <si>
    <t>B-15G</t>
  </si>
  <si>
    <t>Provision for taxation</t>
  </si>
  <si>
    <t>B-16G</t>
  </si>
  <si>
    <t>Other provisions</t>
  </si>
  <si>
    <t>B-17G</t>
  </si>
  <si>
    <t>Sales tax</t>
  </si>
  <si>
    <t>B-18G</t>
  </si>
  <si>
    <t>B-22G</t>
  </si>
  <si>
    <t>B-23G</t>
  </si>
  <si>
    <t>B-19G</t>
  </si>
  <si>
    <t>B-20G</t>
  </si>
  <si>
    <t>B-21G</t>
  </si>
  <si>
    <t>BS-0005</t>
  </si>
  <si>
    <t>BS-0010</t>
  </si>
  <si>
    <t>BS-0015</t>
  </si>
  <si>
    <t>BS-0020</t>
  </si>
  <si>
    <t>Office Equipment - Cost</t>
  </si>
  <si>
    <t>BS-0025</t>
  </si>
  <si>
    <t>Computer Equipment - Cost</t>
  </si>
  <si>
    <t>BS-0030</t>
  </si>
  <si>
    <t>Motor Vehicles - Cost</t>
  </si>
  <si>
    <t>BS-0105</t>
  </si>
  <si>
    <t>BS-0110</t>
  </si>
  <si>
    <t>BS-0115</t>
  </si>
  <si>
    <t>BS-0120</t>
  </si>
  <si>
    <t>Office Equipment -  Accum Depreciation</t>
  </si>
  <si>
    <t>BS-0125</t>
  </si>
  <si>
    <t>Computer Equipment -  Accum Depreciation</t>
  </si>
  <si>
    <t>BS-0130</t>
  </si>
  <si>
    <t>Motor Vehicles -  Accum Depreciation</t>
  </si>
  <si>
    <t>BS-0205</t>
  </si>
  <si>
    <t>BS-0210</t>
  </si>
  <si>
    <t>BS-0215</t>
  </si>
  <si>
    <t>BS-0305</t>
  </si>
  <si>
    <t>BS-0310</t>
  </si>
  <si>
    <t>BS-0315</t>
  </si>
  <si>
    <t>BS-0400</t>
  </si>
  <si>
    <t>Share Investment - XYZ</t>
  </si>
  <si>
    <t>BS-0405</t>
  </si>
  <si>
    <t>ABSA Fixed Deposit</t>
  </si>
  <si>
    <t>BS-0500</t>
  </si>
  <si>
    <t>Loans &amp; Advances</t>
  </si>
  <si>
    <t>BS-0700</t>
  </si>
  <si>
    <t>Cash On Hand</t>
  </si>
  <si>
    <t>BS-0799</t>
  </si>
  <si>
    <t>Cash Transfer Control</t>
  </si>
  <si>
    <t>BS-0900</t>
  </si>
  <si>
    <t>Other Debtors</t>
  </si>
  <si>
    <t>BS-0905</t>
  </si>
  <si>
    <t>BS-1001</t>
  </si>
  <si>
    <t>BS-1002</t>
  </si>
  <si>
    <t>BS-1003</t>
  </si>
  <si>
    <t>BS-1100</t>
  </si>
  <si>
    <t>BS-1300</t>
  </si>
  <si>
    <t>BS-1305</t>
  </si>
  <si>
    <t>Payroll Accruals</t>
  </si>
  <si>
    <t>BS-1310</t>
  </si>
  <si>
    <t>BS-1405</t>
  </si>
  <si>
    <t>BS-1505</t>
  </si>
  <si>
    <t>Provision For Taxation</t>
  </si>
  <si>
    <t>BS-1610</t>
  </si>
  <si>
    <t>BS-1700</t>
  </si>
  <si>
    <t>Sales Tax Control</t>
  </si>
  <si>
    <t>BS-1805</t>
  </si>
  <si>
    <t>ABSA Loan</t>
  </si>
  <si>
    <t>BS-1810</t>
  </si>
  <si>
    <t>Investec Loan</t>
  </si>
  <si>
    <t>BS-1815</t>
  </si>
  <si>
    <t>BS-1900</t>
  </si>
  <si>
    <t>Reserves</t>
  </si>
  <si>
    <t>BS-2000</t>
  </si>
  <si>
    <t>Shareholders' Contributions</t>
  </si>
  <si>
    <t>BS-2200</t>
  </si>
  <si>
    <t>IS-0105</t>
  </si>
  <si>
    <t>Sales - Fruit Juice</t>
  </si>
  <si>
    <t>IS-0110</t>
  </si>
  <si>
    <t>Sales - Vegetable Juice</t>
  </si>
  <si>
    <t>IS-0205</t>
  </si>
  <si>
    <t>Cost of Sales - Fruit Juice</t>
  </si>
  <si>
    <t>IS-0210</t>
  </si>
  <si>
    <t>Cost of Sales - Vegetable Juice</t>
  </si>
  <si>
    <t>IS-0299</t>
  </si>
  <si>
    <t>Cost of Sales - Direct Costs</t>
  </si>
  <si>
    <t>IS-0305</t>
  </si>
  <si>
    <t>IS-0310</t>
  </si>
  <si>
    <t>IS-0315</t>
  </si>
  <si>
    <t>IS-0320</t>
  </si>
  <si>
    <t>IS-0325</t>
  </si>
  <si>
    <t>IS-0330</t>
  </si>
  <si>
    <t>IS-0335</t>
  </si>
  <si>
    <t>IS-0340</t>
  </si>
  <si>
    <t>IS-0345</t>
  </si>
  <si>
    <t>IS-0350</t>
  </si>
  <si>
    <t>IS-0355</t>
  </si>
  <si>
    <t>IS-0360</t>
  </si>
  <si>
    <t>IS-0365</t>
  </si>
  <si>
    <t>IS-0370</t>
  </si>
  <si>
    <t>IS-0375</t>
  </si>
  <si>
    <t>IS-0380</t>
  </si>
  <si>
    <t>IS-0385</t>
  </si>
  <si>
    <t>IS-0390</t>
  </si>
  <si>
    <t>IS-0405</t>
  </si>
  <si>
    <t>Salaries &amp; Wages - Staff</t>
  </si>
  <si>
    <t>IS-0410</t>
  </si>
  <si>
    <t>Salaries &amp; Wages - Management</t>
  </si>
  <si>
    <t>IS-0505</t>
  </si>
  <si>
    <t>IS-0510</t>
  </si>
  <si>
    <t>Amortisation</t>
  </si>
  <si>
    <t>IS-0605</t>
  </si>
  <si>
    <t>IS-0700</t>
  </si>
  <si>
    <t>IS-0800</t>
  </si>
  <si>
    <t>IS-0805</t>
  </si>
  <si>
    <t>Foreign Exchange Loss</t>
  </si>
  <si>
    <t>IS-0810</t>
  </si>
  <si>
    <t>Loss on Disposal of Assets</t>
  </si>
  <si>
    <t>IS-0900</t>
  </si>
  <si>
    <t>IS-0905</t>
  </si>
  <si>
    <t>IS-0910</t>
  </si>
  <si>
    <t>Profit on Disposal of Assets</t>
  </si>
  <si>
    <t>IS-0915</t>
  </si>
  <si>
    <t>IS-1000</t>
  </si>
  <si>
    <t>BS-BB1</t>
  </si>
  <si>
    <t>B1 Bank Account</t>
  </si>
  <si>
    <t>BS-BB2</t>
  </si>
  <si>
    <t>B2 Bank Account</t>
  </si>
  <si>
    <t>BS-BB3</t>
  </si>
  <si>
    <t>B3 Bank Account</t>
  </si>
  <si>
    <t>BS-BPC</t>
  </si>
  <si>
    <t>PC Petty Cash</t>
  </si>
  <si>
    <t>BS-BJC</t>
  </si>
  <si>
    <t>GL Journal Control</t>
  </si>
  <si>
    <t>BS-STG</t>
  </si>
  <si>
    <t>BS-RCG</t>
  </si>
  <si>
    <t>BS-PAG</t>
  </si>
  <si>
    <t>BS-RTG</t>
  </si>
  <si>
    <t>Retained Earnings</t>
  </si>
  <si>
    <t>Setup</t>
  </si>
  <si>
    <t>Status</t>
  </si>
  <si>
    <t>B-04G</t>
  </si>
  <si>
    <t>End of list</t>
  </si>
  <si>
    <t>B-1301G</t>
  </si>
  <si>
    <t>I-0402G</t>
  </si>
  <si>
    <t>Bank accounts</t>
  </si>
  <si>
    <t>Shareholders' contributions</t>
  </si>
  <si>
    <t>Profit / (Loss) before interest</t>
  </si>
  <si>
    <t>Salaries &amp; wages - staff</t>
  </si>
  <si>
    <t>Salaries &amp; wages - management</t>
  </si>
  <si>
    <t>- Interest paid</t>
  </si>
  <si>
    <t>Changes in operating assets &amp; liabilities</t>
  </si>
  <si>
    <t>- Loans &amp; advances</t>
  </si>
  <si>
    <t>- Other debtors</t>
  </si>
  <si>
    <t>- Trade debtors</t>
  </si>
  <si>
    <t>- Trade creditors</t>
  </si>
  <si>
    <t>- Accruals</t>
  </si>
  <si>
    <t>- Sales tax</t>
  </si>
  <si>
    <t>- Cash on hand</t>
  </si>
  <si>
    <t>- Retained earnings</t>
  </si>
  <si>
    <t>- Provisions</t>
  </si>
  <si>
    <t>- Reserves</t>
  </si>
  <si>
    <t>- Inventory</t>
  </si>
  <si>
    <t>cash flow statement status</t>
  </si>
  <si>
    <t>balance sheet status</t>
  </si>
  <si>
    <t>Year End Month</t>
  </si>
  <si>
    <t>The input cells that contain a yellow cell background on the Setup sheet need to be completed in order to include your business name as a heading on all the appropriate sheets and to specify the appropriate reporting periods for which the financial reports need to be compiled. The cell with a light blue cell background contains a formula which should not be replaced!</t>
  </si>
  <si>
    <t>The template can easily be rolled forward to include a new financial year by simply adding the trial balance for the appropriate financial year to the TB sheet and changing the year that is selected on the Setup sheet to the new year. All the calculations on the income statement, cash flow statement and balance sheet will be updated automatically to include the new financial year and the two years before it.</t>
  </si>
  <si>
    <t>The template includes the following sheets:</t>
  </si>
  <si>
    <t>In order to start using the template, you basically need to complete the following steps:</t>
  </si>
  <si>
    <t>■ Change the default settings in the cells with yellow cell backgrounds on the Setup sheet.</t>
  </si>
  <si>
    <t>Note: These are only the main steps that need to be completed and we strongly recommend that you go through the detailed instructions below in order to obtain a more through understanding of the template design.</t>
  </si>
  <si>
    <t>■ If you do not want to use your own account structure and you would rather use our standard template setup, you only need to include your trial balance values on the TB sheet. All the financial statement reporting classes will already be linked to the appropriate account balances and populated on the income statement, cash flow statement and balance sheet.</t>
  </si>
  <si>
    <t>■ If you want to use your own account structure, replace our default data by copying the account numbers &amp; descriptions of all the accounts on your trial balance onto the TB sheet and then link each individual account to the appropriate reporting class by copying or entering the class code into column B. Note that a full list of all the main classes that are used on the income statement and balance sheet are included on the Classes sheet.</t>
  </si>
  <si>
    <t>The appropriate year-end month needs to be selected in cell B6. The year-end month that is selected in this cell determines the date that is included in the headings on the income statement, cash flow statement and balance sheet reports.</t>
  </si>
  <si>
    <t>The year-end date in cell B10 is determined based on the year-end period and the reporting year in cells B6 &amp; B8 and is only used in the heading at the top of the income statement, cash flow statement and balance sheet.</t>
  </si>
  <si>
    <t>The default reporting classes on which the financial reports in this template are based have been included on the Classes sheet. These classes need to be linked to the individual accounts on the TB sheet in order for the financial reports to be automatically populated on the IS, CFS and BS sheets.</t>
  </si>
  <si>
    <t>The default reporting classes can be edited but we recommend sticking to our coding convention and only adding classes if additional income statement or balance sheet items are required. Note that the codes for all income statement items start with an "I" and the code for all balance sheet items start with a "B". All our reporting codes also end with a "G".</t>
  </si>
  <si>
    <t>Error Checking</t>
  </si>
  <si>
    <t>The formula in the Status column checks whether the appropriate class code in column A has been linked to any of the accounts on the TB sheet and if so, whether the appropriate class has been added to the income statement or balance sheet.</t>
  </si>
  <si>
    <t>If a code has been linked to the trial balance and not added to the income statement or balance sheet, the balance sheet will probably not balance and it is therefore essential that all codes which have been linked to the trial balance are added to the income statement or balance sheet. An "add!" message will therefore be displayed in the Status column and the column heading will be highlighted in red if any of these items are found.</t>
  </si>
  <si>
    <t>Once you have added the affected code to the income statement or balance sheet, the errors status will be removed automatically and replaced by an "ok" status.</t>
  </si>
  <si>
    <t>After clearing all the class codes from column B, you need to refer to the Classes sheet in order to determine which accounts need to be linked to which financial statement reporting classes. Note that you do not need to use all the default classes if they are not required but it is imperative that each account is linked to a class. After completing the linking exercise, there should therefore be no blank values in column B.</t>
  </si>
  <si>
    <t>Example: If the financial reports are to be compiled from the 2018 financial year and this year is specified on the Setup sheet, trial balances for 2018, 2017 and 2016 should be added to the TB sheet. The cash flow statement for the 2016 financial period will however not be accurate if the 2015 balance sheet is not also added as a trial balance on the TB sheet. If you therefore want to see accurate reports for 3 annual periods, we recommend that you also add the 4th financial period to the TB sheet.</t>
  </si>
  <si>
    <t>If the account category that you want to create forms part of the income statement or balance sheet and it is not provided for on the Classes sheet, you can create a new reporting class code and link it to the appropriate accounts on the TB sheet. All new income statement codes should start with "I-" and all new balance sheet codes should start with "B-". You should also ensure that the new code that you create does not clash with any of the existing reporting class codes.</t>
  </si>
  <si>
    <t>Our reporting class code convention contains a two-character account group in the first two numbers of the reporting class code. If you create a new reporting class for a new account group, you can simply use the next numbers that are available. Create the new class by adding a new row in the appropriate location on the Classes sheet, copying or entering it in column B on the TB sheet and then adding a new row to the appropriate location on the income statement or balance sheet.</t>
  </si>
  <si>
    <t>You can also create multiple additional reporting classes under the same account group by adding two numbers to the existing account group reporting class code. We have used this method to include detailed expense accounts under the operating expenses section. The main account group class is I-03G and we have linked the individual expense accounts on the trial balance to reporting classes which start with this account group (without the "G") followed by another two numbers for each individual account and ending with a "G". Refer to the IS sheet and note the reporting classes for expenses in column A.</t>
  </si>
  <si>
    <t>When you start using the template, you can use the same classes to link your expense accounts individually and simply edit the class descriptions on the Classes sheet so that the individual expense classes refer to the correct expense account descriptions.</t>
  </si>
  <si>
    <t>If you need to include more than the default number of expense accounts, you can add additional expense account classes to the Classes sheet, include the appropriate expense account descriptions on this sheet, link the accounts on the TB sheet to the new classes, insert the required number of additional rows on the income statement, copy the formulas from one of the existing rows and change the key in column A to the new class.</t>
  </si>
  <si>
    <t>Note: If you don't require all the default expense line items which have been included in the standard template, you can delete the items that you do not require by simply deleting the appropriate rows on the IS sheet.</t>
  </si>
  <si>
    <t>Example: If we wanted to add another non-cash expense line to the cash flow statement, we would insert a new row below the amortisation expense, enter the reporting class to which the new non-cash expense account has been linked on the TB sheet in column A, enter a description for the non-cash transaction in column B and copy the formulas from the amortisation row into the new blank row (for columns C to J).</t>
  </si>
  <si>
    <t>New cash flow statement items need to be added to the CFS sheet by using a reporting class which is consistent with the code that has been used to add the appropriate item to the income statement or balance sheet. This will ensure that the appropriate item is also updated on the income statement or balance sheet.</t>
  </si>
  <si>
    <t>We have included a balance status at the bottom of the CFS sheet in order to check whether the cash balance at the end of the financial period agrees to the cash balance on the balance sheet. If the closing cash balance does not agree to the balance sheet, this row will contain an error message.</t>
  </si>
  <si>
    <t>Note: If you add new lines to the balance sheet, you also need to add the new balance sheet items to the appropriate location on the cash flow statement otherwise the cash flow statement will not balance.</t>
  </si>
  <si>
    <t>■ If you've added new reporting classes to the template, check whether all of your new reporting classes have been included on the income statement and balance sheet reports. All reporting classes that have been linked to accounts on the TB sheet should be included on either the IS or BS sheets.</t>
  </si>
  <si>
    <t>■ If your cash flow statement does not balance and you've added new items to the income statement or balance sheet, make sure that you have also added the appropriate items to the cash flow statement. You can insert a new row, copy one of the existing lines which are similar in nature and just change the reporting class in column A and the description in column B.</t>
  </si>
  <si>
    <t>■ If you have completed the above steps and you still have an imbalance on any of your balance sheets, contact our Support function for assistance.</t>
  </si>
  <si>
    <t>Note: We have included a formula in the Status column (column A) which displays a "class!" message if the appropriate class in column B has not been added to the Classes sheet or an "add!" message if the class has not been added to the income statement or balance sheet. The column heading will also be highlighted in red if any of these errors are found. The formula in this column should be copied for all new accounts that are added to the TB sheet.</t>
  </si>
  <si>
    <t>■ Check the TB sheet for blank rows. No blank rows should be included between rows that contain data otherwise the template calculations may not be accurate.</t>
  </si>
  <si>
    <t>Note: New reporting classes can be added to the Classes sheet by inserting a new row in the appropriate location, entering the new code and entering the description for the new class. You also then need to copy the formula in the Status column which checks for errors.</t>
  </si>
  <si>
    <t>The template has been designed to compare the financial results for 3 annual periods and you need to add trial balances for at least 3 annual periods to the TB sheet. The cash flow statement data for the 3rd annual period will however not be correct if only 3 annual periods are included and it is recommended to add balance sheets for at least 4 annual periods to the TB sheet.</t>
  </si>
  <si>
    <t>Note: All the trial balance data on the TB sheet should form part of a continuous cell range and you should not include any blank rows or columns between rows or columns that contain data otherwise the template calculations will not be accurate.</t>
  </si>
  <si>
    <t>■ Ensure that the total of the amounts in column E on the TBCheck sheet is nil - the total calculation is included in the row above the column headings. If the total is not nil, the difference will be reflected in red in the cell above the column headings with an "error" message next to it. Note that the difference may be attributable to rounding which is covered in the next section.</t>
  </si>
  <si>
    <t>You can also add lines to the cash flow statement by inserting a new row, entering the reporting code on which the calculation should be based in column A and copying the formulas from one of the other similar lines on the cash flow statement.</t>
  </si>
  <si>
    <t>You can also add additional lines to the balance sheet by inserting a new row, entering the reporting code on which the calculation should be based in column A and copying the formulas from one of the other similar lines on the balance sheet.</t>
  </si>
  <si>
    <r>
      <rPr>
        <b/>
        <sz val="10"/>
        <rFont val="Arial"/>
        <family val="2"/>
      </rPr>
      <t>TBCheck</t>
    </r>
    <r>
      <rPr>
        <sz val="10"/>
        <rFont val="Arial"/>
        <family val="2"/>
      </rPr>
      <t xml:space="preserve"> - when you copy a trial balance from another Excel file into this template, it is important to ensure that the account numbers on the source worksheet are the same as the account numbers on the target trial balance worksheet. We have therefore included this sheet to enable users to check whether their account number sequence is consistent with the TB sheet before copying the trial balance amounts into this template.</t>
    </r>
  </si>
  <si>
    <t>■ The income statement, cash flow statement and balance sheet are automatically calculated based on the amounts included on the TB sheet. Simply select the appropriate reporting period on the Setup sheet and all calculations are updated automatically.</t>
  </si>
  <si>
    <t>A complete trial balance should be copied or entered on the TB sheet for each annual reporting period included in the financial reports. All account numbers and account descriptions that form part of the trial balance need to be copied or entered into column C and D on the TB sheet and the appropriate account balances need to be entered into the columns from column E onwards.</t>
  </si>
  <si>
    <t>The template provides for 23 expense accounts to be included on the income statement. Only one of these expense accounts has been linked to an account group class (I-08G for other expenses). All the other accounts have been linked to reporting classes with an additional two numeric characters which have been added to facilitate including individual expense accounts.</t>
  </si>
  <si>
    <r>
      <rPr>
        <b/>
        <sz val="10"/>
        <rFont val="Arial"/>
        <family val="2"/>
      </rPr>
      <t>IS</t>
    </r>
    <r>
      <rPr>
        <sz val="10"/>
        <rFont val="Arial"/>
        <family val="2"/>
      </rPr>
      <t xml:space="preserve"> - this sheet contains an income statement which is automatically calculated based on the reporting classes linked to the accounts on the TB sheet. No user input is required on this sheet but you can customize the report if necessary. The annual periods for which the income statement is compiled is determined based on the annual reporting period which is specified on the Setup sheet.</t>
    </r>
  </si>
  <si>
    <t>■ Check the Status column on the Classes sheet and ensure that there are no errors. If you see an error in this column, it indicates that the appropriate class has been linked to one or more accounts on the TB sheet and not included in the income statement or balance sheet reports. You then need to include the appropriate reporting class in the appropriate location on the income statement or balance sheet.</t>
  </si>
  <si>
    <t>■ Check whether there are any cells that contain an error message in column A on the TB sheet. If a cell contains an error message, it means that the account has been linked to a reporting class which does not form part of the income statement or balance sheet reports. This may therefore mean that the appropriate account has been linked to an invalid reporting class code. All invalid reporting classes need to be amended and there should be no accounts on the TB sheet which contain errors in column A.</t>
  </si>
  <si>
    <t>Year</t>
  </si>
  <si>
    <t>Value</t>
  </si>
  <si>
    <t>Rest</t>
  </si>
  <si>
    <t>Gap</t>
  </si>
  <si>
    <t>Arrows</t>
  </si>
  <si>
    <t></t>
  </si>
  <si>
    <t></t>
  </si>
  <si>
    <t></t>
  </si>
  <si>
    <t>Column Index</t>
  </si>
  <si>
    <t>Interest Cover</t>
  </si>
  <si>
    <t>Return on Equity (ROE)</t>
  </si>
  <si>
    <t>%</t>
  </si>
  <si>
    <t>V1</t>
  </si>
  <si>
    <t>diff</t>
  </si>
  <si>
    <t>Top 5 Expenses By Value</t>
  </si>
  <si>
    <t>rank</t>
  </si>
  <si>
    <t>sequence</t>
  </si>
  <si>
    <t>Select expense:</t>
  </si>
  <si>
    <t>Income Statement Trends Section</t>
  </si>
  <si>
    <t>Cash &amp; cash equivalents section</t>
  </si>
  <si>
    <t>Cash from operating activities</t>
  </si>
  <si>
    <t>Cash used in investing activities</t>
  </si>
  <si>
    <t>Cash from financing activities</t>
  </si>
  <si>
    <t>Cash movement</t>
  </si>
  <si>
    <t>Balance sheet summary section</t>
  </si>
  <si>
    <t>Total non-current assets</t>
  </si>
  <si>
    <t>Total current assets</t>
  </si>
  <si>
    <t>Total equity</t>
  </si>
  <si>
    <t>Total non-current liabilities</t>
  </si>
  <si>
    <t>Total current liabilities</t>
  </si>
  <si>
    <t>Return on Net Assets (RONA)</t>
  </si>
  <si>
    <t>Net Assets</t>
  </si>
  <si>
    <t>Income Statement formula</t>
  </si>
  <si>
    <t>Array formula</t>
  </si>
  <si>
    <t>Cash Flow Statement formula</t>
  </si>
  <si>
    <t>Balance Sheet formula</t>
  </si>
  <si>
    <t>Line Item formula</t>
  </si>
  <si>
    <t>Line Item formula (Opex if GP% is nil)</t>
  </si>
  <si>
    <t>Line Item formula (Tax% if no interest)</t>
  </si>
  <si>
    <t>Current Ratio</t>
  </si>
  <si>
    <t>Quick Ratio</t>
  </si>
  <si>
    <t>Inventory Days</t>
  </si>
  <si>
    <t>Debtors Days</t>
  </si>
  <si>
    <t>Creditors Days</t>
  </si>
  <si>
    <t>Debt / Equity</t>
  </si>
  <si>
    <r>
      <rPr>
        <b/>
        <sz val="10"/>
        <rFont val="Arial"/>
        <family val="2"/>
      </rPr>
      <t>Setup</t>
    </r>
    <r>
      <rPr>
        <sz val="10"/>
        <rFont val="Arial"/>
        <family val="2"/>
      </rPr>
      <t xml:space="preserve"> - enter your business name, select the year-end month and enter the reporting year. The business name is used as a heading on all the sheets and the reporting period selections are used to determine the annual periods which need to be included on the financial reports.</t>
    </r>
  </si>
  <si>
    <r>
      <rPr>
        <b/>
        <sz val="10"/>
        <rFont val="Arial"/>
        <family val="2"/>
      </rPr>
      <t>Classes</t>
    </r>
    <r>
      <rPr>
        <sz val="10"/>
        <rFont val="Arial"/>
        <family val="2"/>
      </rPr>
      <t xml:space="preserve"> - this sheet contains all the pre-defined reporting classes which should be used to link the trial balance accounts on the TB sheet to the calculations on the income statement, cash flow statement and balance sheet. The class descriptions included on this sheet are displayed on the financial statements and the sheet also includes error checking in the Status column which highlights errors in the linking of the reporting classes.</t>
    </r>
  </si>
  <si>
    <r>
      <rPr>
        <b/>
        <sz val="10"/>
        <rFont val="Arial"/>
        <family val="2"/>
      </rPr>
      <t xml:space="preserve">TB </t>
    </r>
    <r>
      <rPr>
        <sz val="10"/>
        <rFont val="Arial"/>
        <family val="2"/>
      </rPr>
      <t>- a complete trial balance for each annual period should be included on this sheet and each account in the trial balance should be linked to a financial statement reporting class by entering or copying the appropriate class code into column B. The amounts included on the financial reports are automatically updated based on the classes specified on this sheet.</t>
    </r>
  </si>
  <si>
    <r>
      <rPr>
        <b/>
        <sz val="10"/>
        <rFont val="Arial"/>
        <family val="2"/>
      </rPr>
      <t>CFS</t>
    </r>
    <r>
      <rPr>
        <sz val="10"/>
        <rFont val="Arial"/>
        <family val="2"/>
      </rPr>
      <t xml:space="preserve"> - this sheet contains a cash flow statement automatically calculated based on the reporting classes linked to the accounts on the TB sheet. No user input is required on this sheet but you can customize the report if necessary. The annual periods for which the cash flow statement is compiled is determined based on the annual reporting period specified on the Setup sheet.</t>
    </r>
  </si>
  <si>
    <r>
      <rPr>
        <b/>
        <sz val="10"/>
        <rFont val="Arial"/>
        <family val="2"/>
      </rPr>
      <t>BS</t>
    </r>
    <r>
      <rPr>
        <sz val="10"/>
        <rFont val="Arial"/>
        <family val="2"/>
      </rPr>
      <t xml:space="preserve"> - this sheet contains a balance sheet automatically calculated based on the reporting classes linked to the accounts on the TB sheet. No user input is required on this sheet. The annual periods for which the balance sheet is compiled is determined based on the annual reporting period specified on the Setup sheet.</t>
    </r>
  </si>
  <si>
    <r>
      <rPr>
        <b/>
        <sz val="10"/>
        <rFont val="Arial"/>
        <family val="2"/>
      </rPr>
      <t>DB</t>
    </r>
    <r>
      <rPr>
        <sz val="10"/>
        <rFont val="Arial"/>
        <family val="2"/>
      </rPr>
      <t xml:space="preserve"> - The financial dashboard on this sheet is updated automatically based on the income statement, cash flow statement and balance sheet amounts on the other sheets. The flexible design of this unique financial dashboard also makes it relatively easy to replace calculations and charts which may not be applicable to your business.</t>
    </r>
  </si>
  <si>
    <t>The financial year for which the financial reports are compiled needs to be specified in cell B8. This year will be used as the current financial year and be compared to the two years preceding it on the financial reports. If you change the year specified in this cell, the income statement, cash flow statement and balance sheet will be updated automatically.</t>
  </si>
  <si>
    <t>Note: If any of the user input cells on the Setup sheet are not completed or if the data entered is invalid, the cell background of the appropriate cell will be highlighted in red. A red cell background therefore indicates that you should replace the data in the appropriate cell with valid input.</t>
  </si>
  <si>
    <t>The descriptions included on the income statement and balance sheet are also based on the class descriptions included on the Classes sheet. If you therefore want to change any of the line item descriptions on either the income statement or balance sheet, you need to edit the appropriate reporting class description on the Classes sheet.</t>
  </si>
  <si>
    <t>Each account then needs to be linked to one of the pre-defined financial statement reporting classes listed on the Classes sheet. The template will contain default data on the TB sheet when you use it for the first time but you can replace all the account numbers and descriptions with your own and clear all the class codes in column B before you commence with the exercise of linking your accounts to the appropriate pre-defined financial statement reporting classes.</t>
  </si>
  <si>
    <t>The income statement on the IS sheet is automatically compiled based on the trial balances included on the TB sheet. The first reporting period is determined based on the reporting year specified on the Setup sheet. Aside from amendments to the default line items included on the income statement, the sheet requires no user input.</t>
  </si>
  <si>
    <t>The calculated amounts for each individual line item on the income statement are based on the reporting classes entered in column A. Most of these line items are based on main reporting classes but we have provided for sub classes to be included in the operating expenses section in order to include expense items individually on the income statement.</t>
  </si>
  <si>
    <t>The cash flow statement on the CFS sheet has been designed on the same basis as the income statement on the IS sheet. The cash flow statement is automatically compiled based on the trial balances included on the TB sheet. The first reporting period is determined based on the reporting year specified on the Setup sheet. Aside from amendments to the default line items included on the cash flow statement, the sheet requires no user input.</t>
  </si>
  <si>
    <t>The balance sheet on the BS sheet has been designed on the same basis as the income statement on the IS sheet. The balance sheet is automatically compiled based on the trial balances included on the TB sheet. The first reporting period is determined based on the reporting year specified on the Setup sheet. Aside from amendments to the default line items included on the balance sheet, the sheet requires no user input.</t>
  </si>
  <si>
    <t>We have added conditional formatting to the rows which contain the total assets and total equity &amp; liabilities calculations to highlight the cells in red if the balance sheet does not balance. Refer to the Troubleshooting section of these instructions for information on the cause of balance sheet imbalances. Once all the errors are fixed, the red highlighting will be removed automatically.</t>
  </si>
  <si>
    <t>Financial Dashboard</t>
  </si>
  <si>
    <t>The financial dashboard on the DB sheet is automatically updated based on the income statement, cash flow statement and balance sheet calculations on the other sheets. The flexible design of this unique financial dashboard also makes it relatively easy to replace calculations and charts which may not be applicable to your business.</t>
  </si>
  <si>
    <t>We have included notes on the types of formulas used in column K which indicate how to amend the dashboard items if you wish to do so. We recommend saving a copy of the template before making any changes so that you can revert back to the copy if your changes result in any errors.</t>
  </si>
  <si>
    <t>Where the notes indicate that the line item is based on an income statement formula, cash flow statement formula or a balance sheet formula, the line item can be based on any other item on the appropriate report by simply linking the line item description in column A to the intended target. The calculations in the other columns and the dashboard will be updated automatically.</t>
  </si>
  <si>
    <t>Note: The cells with light blue text are the cells which can be edited. We do not recommend making changes to the cells which are not indicated in light blue text as these contain formulas which are essential for the dashboard to be displayed correctly.</t>
  </si>
  <si>
    <t>The following troubleshooting steps need to be completed if any of the balance sheets which are included on the BS sheet are not in balance:</t>
  </si>
  <si>
    <t>All the data on which the dashboard calculations are based are included below the dashboard - this section has not been included in the print range and will not be printed. We have designed the dashboard components with as much flexibility as practically possible and also made it relatively easy to replace dashboard components if necessary.</t>
  </si>
  <si>
    <t>Where the notes indicate that a line item formula is used, it means that the formula pertains specifically to the particular line item and that you need to add your own calculation in order to replace the default template calculation. The only other description used is the array formula and we do not recommend making any changes to the top 5 expenses section of the dashboard.</t>
  </si>
  <si>
    <t>We have included additional flexibility in the charts for the gross profit percentage and the interest cover which results in the first reverting to an operating expense percentage calculation and the last to a taxation percentage calculation if the gross profit percentage or interest paid values are nil.</t>
  </si>
  <si>
    <r>
      <rPr>
        <sz val="24"/>
        <rFont val="Century Gothic"/>
        <family val="2"/>
        <scheme val="minor"/>
      </rPr>
      <t>FINANCIAL</t>
    </r>
    <r>
      <rPr>
        <sz val="11"/>
        <rFont val="Century Gothic"/>
        <family val="1"/>
        <scheme val="minor"/>
      </rPr>
      <t xml:space="preserve">
</t>
    </r>
    <r>
      <rPr>
        <sz val="20"/>
        <rFont val="Century Gothic"/>
        <family val="2"/>
        <scheme val="minor"/>
      </rPr>
      <t>DASHBOARD</t>
    </r>
  </si>
  <si>
    <t>Income Statement Trends</t>
  </si>
  <si>
    <t>Interactive Expense Chart</t>
  </si>
  <si>
    <t>Cash &amp; cash equivalents summary</t>
  </si>
  <si>
    <t>Balance sheet summary</t>
  </si>
  <si>
    <t>Dashboard Data (not printed)</t>
  </si>
  <si>
    <t>Excel Skills Australia | Financial Analysis Template</t>
  </si>
  <si>
    <t>www.excel-skills.com.au</t>
  </si>
  <si>
    <t>If you experience any difficulty while using this template and you are not able to find the appropriate guidance in these instructions, please e-mail us at support@excel-skills.com.au for assistance. This template has been designed with flexibility in mind to ensure that it can be used in most business environments. If however you need an Excel based template that is customized specifically for your business requirements, please e-mail our Support function and provide a brief explanation of your requirements.</t>
  </si>
  <si>
    <t>This template remains the intellectual property of www.excel-skills.com.au and is protected by international copyright laws. Any publication or distribution of this template outside the scope of the permitted use of the template is expressly prohibited. In terms of the permitted use of this template, only the distribution of the template to persons within the same organisation as the registered user or persons outside the organisation who can reasonably be expected to require access to the template as a direct result of the use of the template by the registered user is allowed. Subsequent distribution of the template by parties outside of the organisation is however expressly prohibited and represents an infringement of international copyright laws.</t>
  </si>
  <si>
    <t>Example Pty Limited</t>
  </si>
  <si>
    <t>© www.excel-skills.com.au</t>
  </si>
  <si>
    <t>ok</t>
  </si>
  <si>
    <t>-</t>
  </si>
  <si>
    <t>Income statement for the period ended 30 June 2022</t>
  </si>
  <si>
    <t>Statement of cash flows for the period ended 30 June 2022</t>
  </si>
  <si>
    <t/>
  </si>
  <si>
    <t>Balance sheet at 30 June 2022</t>
  </si>
  <si>
    <t>AS AT 30 JUNE 2022</t>
  </si>
  <si>
    <t>2022 Cash Balance</t>
  </si>
  <si>
    <t>Chart 1 : Turnover</t>
  </si>
  <si>
    <t>Chart 2 : Profit / (Loss) for the period</t>
  </si>
  <si>
    <t>Chart 3 : 2022 Gross Profit %</t>
  </si>
  <si>
    <t>2022 Gross Profit %</t>
  </si>
  <si>
    <t>Chart 4 : 2022 Net Profit %</t>
  </si>
  <si>
    <t>2022 Net Profit %</t>
  </si>
  <si>
    <t>Chart 5 : 2022 Interest Cover</t>
  </si>
  <si>
    <t>2022 Interest Cover</t>
  </si>
  <si>
    <t>Chart 6 : 2022 ROE %</t>
  </si>
  <si>
    <t>2022 ROE %</t>
  </si>
  <si>
    <t>Chart 7 : Interactive Expenses (select in cell G24 to change - default is total operating expenses)</t>
  </si>
  <si>
    <t>Chart 8 : Cash Balance</t>
  </si>
  <si>
    <t>Chart 9 : 2022 Current Ratio</t>
  </si>
  <si>
    <t>2022 Current Ratio</t>
  </si>
  <si>
    <t>Chart 10 : 2022 Debt / Equity Ratio</t>
  </si>
  <si>
    <t>2022 Debt / Equity Ratio</t>
  </si>
  <si>
    <t>Chart 11 : 2022 RONA</t>
  </si>
  <si>
    <t>2022 RONA</t>
  </si>
  <si>
    <t>Ad</t>
  </si>
  <si>
    <t>Soyad</t>
  </si>
  <si>
    <t>Sevinc</t>
  </si>
  <si>
    <t>Aydan</t>
  </si>
  <si>
    <t>Günay</t>
  </si>
  <si>
    <t>Ayşən</t>
  </si>
  <si>
    <t>Elana</t>
  </si>
  <si>
    <t>Ləman</t>
  </si>
  <si>
    <t>Anar</t>
  </si>
  <si>
    <t>Təbriz</t>
  </si>
  <si>
    <t>Murad</t>
  </si>
  <si>
    <t>Elşən</t>
  </si>
  <si>
    <t>Rəşad</t>
  </si>
  <si>
    <t>Nuray</t>
  </si>
  <si>
    <t>Aylin</t>
  </si>
  <si>
    <t>Mahir</t>
  </si>
  <si>
    <t>Zaur</t>
  </si>
  <si>
    <t>Ruslan</t>
  </si>
  <si>
    <t>Zəhra</t>
  </si>
  <si>
    <t>Səbinə</t>
  </si>
  <si>
    <t>Bəhruz</t>
  </si>
  <si>
    <t>Röya</t>
  </si>
  <si>
    <t>Ülkər</t>
  </si>
  <si>
    <t>Şahin</t>
  </si>
  <si>
    <t>Rahim</t>
  </si>
  <si>
    <t>Gülnar</t>
  </si>
  <si>
    <t>Pərviz</t>
  </si>
  <si>
    <t>Əhməd</t>
  </si>
  <si>
    <t>Seymur</t>
  </si>
  <si>
    <t>Ceyhun</t>
  </si>
  <si>
    <t>Gülər</t>
  </si>
  <si>
    <t>Səidə</t>
  </si>
  <si>
    <t>Rahidə</t>
  </si>
  <si>
    <t>Zeynəb</t>
  </si>
  <si>
    <t>Xədicə</t>
  </si>
  <si>
    <t>Mədinə</t>
  </si>
  <si>
    <t>Zamin</t>
  </si>
  <si>
    <t>Kamran</t>
  </si>
  <si>
    <t>Kənan</t>
  </si>
  <si>
    <t>Qurban</t>
  </si>
  <si>
    <t>İbrəmxəlilova</t>
  </si>
  <si>
    <t>Həsənli</t>
  </si>
  <si>
    <t>Qədirova</t>
  </si>
  <si>
    <t>Mahmudova</t>
  </si>
  <si>
    <t>Bayramova</t>
  </si>
  <si>
    <t>Əhədova</t>
  </si>
  <si>
    <t>Mehdiyev</t>
  </si>
  <si>
    <t>Həsənzadə</t>
  </si>
  <si>
    <t>Həsənov</t>
  </si>
  <si>
    <t>Abdullayev</t>
  </si>
  <si>
    <t>Məmmədova</t>
  </si>
  <si>
    <t>İbrahimova</t>
  </si>
  <si>
    <t>Hüseynov</t>
  </si>
  <si>
    <t>İbrahimov</t>
  </si>
  <si>
    <t>Məmmədov</t>
  </si>
  <si>
    <t>Abdullayeva</t>
  </si>
  <si>
    <t>Mirzəyeva</t>
  </si>
  <si>
    <t>Cəfərov</t>
  </si>
  <si>
    <t>Cəfərova</t>
  </si>
  <si>
    <t>İsmayıllı</t>
  </si>
  <si>
    <t>Nuriyev</t>
  </si>
  <si>
    <t>Mirzəyev</t>
  </si>
  <si>
    <t>Abdullazadə</t>
  </si>
  <si>
    <t>Ələkbərov</t>
  </si>
  <si>
    <t>Həsənova</t>
  </si>
  <si>
    <t>Süleymanova</t>
  </si>
  <si>
    <t>Sadıqova</t>
  </si>
  <si>
    <t>Kərəmov</t>
  </si>
  <si>
    <t>Qurbanov</t>
  </si>
  <si>
    <t>Məhərrəmov</t>
  </si>
  <si>
    <t>Yaş</t>
  </si>
  <si>
    <t>Hüseynzadə</t>
  </si>
  <si>
    <t>Zehra</t>
  </si>
  <si>
    <t>Sultan</t>
  </si>
  <si>
    <t>Esma</t>
  </si>
  <si>
    <t>Hava</t>
  </si>
  <si>
    <t>Halime</t>
  </si>
  <si>
    <t>Dilek</t>
  </si>
  <si>
    <t>Hacer</t>
  </si>
  <si>
    <t>Asiye</t>
  </si>
  <si>
    <t>Cemile</t>
  </si>
  <si>
    <t>Hayriye</t>
  </si>
  <si>
    <t>Derya</t>
  </si>
  <si>
    <t>Ebru</t>
  </si>
  <si>
    <t>Emine</t>
  </si>
  <si>
    <t>Esra</t>
  </si>
  <si>
    <t>Keziban</t>
  </si>
  <si>
    <t>Hanife</t>
  </si>
  <si>
    <t>Sevgi</t>
  </si>
  <si>
    <t>Rabia</t>
  </si>
  <si>
    <t>Özlem</t>
  </si>
  <si>
    <t>Sevim</t>
  </si>
  <si>
    <t>Selma</t>
  </si>
  <si>
    <t>Fatma</t>
  </si>
  <si>
    <t>Sibel</t>
  </si>
  <si>
    <t>Zeynep</t>
  </si>
  <si>
    <t>Fadime</t>
  </si>
  <si>
    <t>Leyla</t>
  </si>
  <si>
    <t>Gülsüm</t>
  </si>
  <si>
    <t>Merve</t>
  </si>
  <si>
    <t>Songül</t>
  </si>
  <si>
    <t>Rukiye</t>
  </si>
  <si>
    <t>Zeliha</t>
  </si>
  <si>
    <t>Elif</t>
  </si>
  <si>
    <t>Meryem</t>
  </si>
  <si>
    <t>Kadriye</t>
  </si>
  <si>
    <t>Melek</t>
  </si>
  <si>
    <t>Ayşe</t>
  </si>
  <si>
    <t>Ayşegül</t>
  </si>
  <si>
    <t>Havva</t>
  </si>
  <si>
    <t>Aysel</t>
  </si>
  <si>
    <t>Aynur</t>
  </si>
  <si>
    <t>Yasemin</t>
  </si>
  <si>
    <t>Hülya</t>
  </si>
  <si>
    <t>Ayten</t>
  </si>
  <si>
    <t>Hatice</t>
  </si>
  <si>
    <t>Filiz</t>
  </si>
  <si>
    <t>Döndü</t>
  </si>
  <si>
    <t>Şerife</t>
  </si>
  <si>
    <t>Büşra</t>
  </si>
  <si>
    <t>Kübra</t>
  </si>
  <si>
    <t>Tuğba</t>
  </si>
  <si>
    <t>Güneş</t>
  </si>
  <si>
    <t>Şen</t>
  </si>
  <si>
    <t>Kaplan</t>
  </si>
  <si>
    <t>Doğan</t>
  </si>
  <si>
    <t>Can</t>
  </si>
  <si>
    <t>Demir</t>
  </si>
  <si>
    <t>Köse</t>
  </si>
  <si>
    <t>Güler</t>
  </si>
  <si>
    <t>Özdemir</t>
  </si>
  <si>
    <t>Öztürk</t>
  </si>
  <si>
    <t>Çetin</t>
  </si>
  <si>
    <t>Gül</t>
  </si>
  <si>
    <t>Avcı</t>
  </si>
  <si>
    <t>Aslan</t>
  </si>
  <si>
    <t>Erdoğan</t>
  </si>
  <si>
    <t>Çakır</t>
  </si>
  <si>
    <t>Acar</t>
  </si>
  <si>
    <t>Kara</t>
  </si>
  <si>
    <t>Taş</t>
  </si>
  <si>
    <t>Aydın</t>
  </si>
  <si>
    <t>Yalçın</t>
  </si>
  <si>
    <t>Aksoy</t>
  </si>
  <si>
    <t>Özcan</t>
  </si>
  <si>
    <t>Yüksel</t>
  </si>
  <si>
    <t>Şimşek</t>
  </si>
  <si>
    <t>Işık</t>
  </si>
  <si>
    <t>Turan</t>
  </si>
  <si>
    <t>Aktaş</t>
  </si>
  <si>
    <t>Koç</t>
  </si>
  <si>
    <t>Ünal</t>
  </si>
  <si>
    <t>Yılmaz</t>
  </si>
  <si>
    <t>Yıldırım</t>
  </si>
  <si>
    <t>Bozkurt</t>
  </si>
  <si>
    <t>Yıldız</t>
  </si>
  <si>
    <t>Çelik</t>
  </si>
  <si>
    <t>Özkan</t>
  </si>
  <si>
    <t>Tekin</t>
  </si>
  <si>
    <t>Kurt</t>
  </si>
  <si>
    <t>Korkmaz</t>
  </si>
  <si>
    <t>Bulut</t>
  </si>
  <si>
    <t>Yavuz</t>
  </si>
  <si>
    <t>Keskin</t>
  </si>
  <si>
    <t>Arslan</t>
  </si>
  <si>
    <t>Polat</t>
  </si>
  <si>
    <t>Özer</t>
  </si>
  <si>
    <t>Ateş</t>
  </si>
  <si>
    <t>Kılıç</t>
  </si>
  <si>
    <t>Sarı</t>
  </si>
  <si>
    <t>Kaya</t>
  </si>
  <si>
    <t>Gender</t>
  </si>
  <si>
    <t>Maaş</t>
  </si>
  <si>
    <t>Ölkə</t>
  </si>
  <si>
    <t>Azərbaycan</t>
  </si>
  <si>
    <t>Türkiyə</t>
  </si>
  <si>
    <t>Kanada</t>
  </si>
  <si>
    <t>Almanya</t>
  </si>
  <si>
    <t>İngiltərə</t>
  </si>
  <si>
    <t>Fransa</t>
  </si>
  <si>
    <t>Çin</t>
  </si>
  <si>
    <t>Hindistan</t>
  </si>
  <si>
    <t>Avustraliya</t>
  </si>
  <si>
    <t>Rusiya</t>
  </si>
  <si>
    <t>Yaponiya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</si>
</sst>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 #,##0.00_ ;_ * \-#,##0.00_ ;_ * &quot;-&quot;??_ ;_ @_ "/>
    <numFmt numFmtId="165" formatCode="dd\ mmmm\ yyyy"/>
    <numFmt numFmtId="166" formatCode="0.0%"/>
    <numFmt numFmtId="167" formatCode="_ * #,##0_ ;_ * \(#,##0\)_ ;_ * &quot;-&quot;_ ;_ @_ "/>
    <numFmt numFmtId="168" formatCode="_ * #,##0.0%_ ;_ * \(#,##0.0%\)_ ;_ * &quot;-&quot;_ ;_ @_ "/>
    <numFmt numFmtId="169" formatCode="mmmm"/>
    <numFmt numFmtId="170" formatCode="_ * #,##0_ ;_ * \-#,##0_ ;_ * &quot;-&quot;??_ ;_ @_ "/>
    <numFmt numFmtId="171" formatCode="_ * #,##0.0_ ;_ * \(#,##0.0\)_ ;_ * &quot;-&quot;_ ;_ @_ "/>
    <numFmt numFmtId="172" formatCode="#,##0.0"/>
  </numFmts>
  <fonts count="54" x14ac:knownFonts="1">
    <font>
      <sz val="10"/>
      <name val="Century Gothic"/>
      <family val="2"/>
      <scheme val="minor"/>
    </font>
    <font>
      <sz val="10"/>
      <name val="Arial"/>
      <family val="2"/>
    </font>
    <font>
      <u/>
      <sz val="10"/>
      <color theme="10"/>
      <name val="Arial"/>
      <family val="2"/>
    </font>
    <font>
      <sz val="10"/>
      <color theme="1"/>
      <name val="Century Gothic"/>
      <family val="2"/>
      <scheme val="minor"/>
    </font>
    <font>
      <b/>
      <sz val="10"/>
      <color theme="1"/>
      <name val="Century Gothic"/>
      <family val="2"/>
      <scheme val="minor"/>
    </font>
    <font>
      <sz val="9"/>
      <color rgb="FF008000"/>
      <name val="Century Gothic"/>
      <family val="1"/>
      <scheme val="minor"/>
    </font>
    <font>
      <b/>
      <sz val="9"/>
      <color rgb="FF008000"/>
      <name val="Century Gothic"/>
      <family val="1"/>
      <scheme val="minor"/>
    </font>
    <font>
      <sz val="9"/>
      <color rgb="FFFF0000"/>
      <name val="Century Gothic"/>
      <family val="1"/>
      <scheme val="minor"/>
    </font>
    <font>
      <sz val="9"/>
      <color rgb="FF00B050"/>
      <name val="Century Gothic"/>
      <family val="1"/>
      <scheme val="minor"/>
    </font>
    <font>
      <b/>
      <sz val="12"/>
      <name val="Century Gothic"/>
      <family val="1"/>
      <scheme val="major"/>
    </font>
    <font>
      <sz val="10"/>
      <name val="Century Gothic"/>
      <family val="2"/>
      <scheme val="minor"/>
    </font>
    <font>
      <i/>
      <sz val="10"/>
      <name val="Century Gothic"/>
      <family val="2"/>
      <scheme val="minor"/>
    </font>
    <font>
      <b/>
      <sz val="10"/>
      <name val="Century Gothic"/>
      <family val="2"/>
      <scheme val="minor"/>
    </font>
    <font>
      <sz val="11"/>
      <name val="Century Gothic"/>
      <family val="2"/>
      <scheme val="minor"/>
    </font>
    <font>
      <sz val="10"/>
      <name val="Century Gothic"/>
      <family val="1"/>
      <scheme val="minor"/>
    </font>
    <font>
      <i/>
      <sz val="10"/>
      <name val="Century Gothic"/>
      <family val="1"/>
      <scheme val="minor"/>
    </font>
    <font>
      <sz val="10"/>
      <color theme="0"/>
      <name val="Century Gothic"/>
      <family val="1"/>
      <scheme val="minor"/>
    </font>
    <font>
      <b/>
      <sz val="10"/>
      <name val="Century Gothic"/>
      <family val="1"/>
      <scheme val="minor"/>
    </font>
    <font>
      <sz val="10"/>
      <color rgb="FFFF0000"/>
      <name val="Century Gothic"/>
      <family val="1"/>
      <scheme val="minor"/>
    </font>
    <font>
      <sz val="10"/>
      <color rgb="FF00B050"/>
      <name val="Century Gothic"/>
      <family val="1"/>
      <scheme val="minor"/>
    </font>
    <font>
      <sz val="9"/>
      <color rgb="FF008000"/>
      <name val="Century Gothic"/>
      <family val="2"/>
      <scheme val="minor"/>
    </font>
    <font>
      <sz val="10"/>
      <color theme="0"/>
      <name val="Century Gothic"/>
      <family val="2"/>
      <scheme val="minor"/>
    </font>
    <font>
      <i/>
      <sz val="9"/>
      <color rgb="FF008000"/>
      <name val="Century Gothic"/>
      <family val="2"/>
      <scheme val="minor"/>
    </font>
    <font>
      <b/>
      <sz val="9"/>
      <color rgb="FF008000"/>
      <name val="Century Gothic"/>
      <family val="2"/>
      <scheme val="minor"/>
    </font>
    <font>
      <b/>
      <sz val="12"/>
      <name val="Century Gothic"/>
      <family val="2"/>
      <scheme val="major"/>
    </font>
    <font>
      <b/>
      <sz val="10"/>
      <name val="Arial"/>
      <family val="2"/>
    </font>
    <font>
      <i/>
      <sz val="10"/>
      <name val="Arial"/>
      <family val="2"/>
    </font>
    <font>
      <b/>
      <i/>
      <sz val="10"/>
      <name val="Arial"/>
      <family val="2"/>
    </font>
    <font>
      <b/>
      <sz val="12"/>
      <name val="Arial"/>
      <family val="2"/>
    </font>
    <font>
      <sz val="10"/>
      <name val="Arial"/>
      <family val="2"/>
    </font>
    <font>
      <sz val="11"/>
      <name val="Century Gothic"/>
      <family val="1"/>
      <scheme val="minor"/>
    </font>
    <font>
      <sz val="14"/>
      <name val="Wingdings 3"/>
      <family val="1"/>
      <charset val="2"/>
    </font>
    <font>
      <sz val="14"/>
      <color theme="0" tint="-0.14999847407452621"/>
      <name val="Wingdings 3"/>
      <family val="1"/>
      <charset val="2"/>
    </font>
    <font>
      <b/>
      <u/>
      <sz val="14"/>
      <color theme="0" tint="-0.14999847407452621"/>
      <name val="Wingdings 3"/>
      <family val="1"/>
      <charset val="2"/>
    </font>
    <font>
      <b/>
      <sz val="11"/>
      <name val="Century Gothic"/>
      <family val="1"/>
      <scheme val="minor"/>
    </font>
    <font>
      <b/>
      <sz val="14"/>
      <name val="Wingdings 3"/>
      <family val="1"/>
      <charset val="2"/>
    </font>
    <font>
      <sz val="11"/>
      <name val="Wingdings 3"/>
      <family val="1"/>
      <charset val="2"/>
    </font>
    <font>
      <i/>
      <sz val="11"/>
      <name val="Century Gothic"/>
      <family val="1"/>
      <scheme val="minor"/>
    </font>
    <font>
      <i/>
      <sz val="14"/>
      <name val="Wingdings 3"/>
      <family val="1"/>
      <charset val="2"/>
    </font>
    <font>
      <b/>
      <sz val="11"/>
      <name val="Century Gothic"/>
      <family val="2"/>
      <scheme val="minor"/>
    </font>
    <font>
      <sz val="14"/>
      <name val="Century Gothic"/>
      <family val="1"/>
      <scheme val="minor"/>
    </font>
    <font>
      <sz val="20"/>
      <name val="Century Gothic"/>
      <family val="1"/>
      <scheme val="minor"/>
    </font>
    <font>
      <b/>
      <sz val="14"/>
      <name val="Century Gothic"/>
      <family val="2"/>
      <scheme val="minor"/>
    </font>
    <font>
      <i/>
      <sz val="11"/>
      <name val="Century Gothic"/>
      <family val="2"/>
      <scheme val="minor"/>
    </font>
    <font>
      <sz val="11"/>
      <color rgb="FF00B0F0"/>
      <name val="Century Gothic"/>
      <family val="1"/>
      <scheme val="minor"/>
    </font>
    <font>
      <i/>
      <sz val="11"/>
      <color rgb="FF00B0F0"/>
      <name val="Century Gothic"/>
      <family val="1"/>
      <scheme val="minor"/>
    </font>
    <font>
      <b/>
      <sz val="12"/>
      <name val="Century Gothic"/>
      <family val="1"/>
      <scheme val="minor"/>
    </font>
    <font>
      <sz val="9"/>
      <color rgb="FFFF0000"/>
      <name val="Century Gothic"/>
      <family val="2"/>
      <scheme val="minor"/>
    </font>
    <font>
      <sz val="10"/>
      <color rgb="FFFF0000"/>
      <name val="Century Gothic"/>
      <family val="2"/>
      <scheme val="minor"/>
    </font>
    <font>
      <sz val="20"/>
      <name val="Century Gothic"/>
      <family val="2"/>
      <scheme val="minor"/>
    </font>
    <font>
      <sz val="24"/>
      <name val="Century Gothic"/>
      <family val="2"/>
      <scheme val="minor"/>
    </font>
    <font>
      <sz val="18"/>
      <name val="Century Gothic"/>
      <family val="1"/>
      <scheme val="minor"/>
    </font>
    <font>
      <b/>
      <u/>
      <sz val="10"/>
      <color theme="5" tint="0.39997558519241921"/>
      <name val="Arial"/>
      <family val="2"/>
    </font>
    <font>
      <sz val="12"/>
      <name val="Times New Roman"/>
      <family val="1"/>
      <charset val="204"/>
    </font>
  </fonts>
  <fills count="8">
    <fill>
      <patternFill patternType="none"/>
    </fill>
    <fill>
      <patternFill patternType="gray125"/>
    </fill>
    <fill>
      <patternFill patternType="solid">
        <fgColor rgb="FFFFFF71"/>
        <bgColor indexed="64"/>
      </patternFill>
    </fill>
    <fill>
      <patternFill patternType="solid">
        <fgColor rgb="FF81C9FF"/>
        <bgColor indexed="64"/>
      </patternFill>
    </fill>
    <fill>
      <patternFill patternType="solid">
        <fgColor rgb="FFFFFF99"/>
        <bgColor indexed="64"/>
      </patternFill>
    </fill>
    <fill>
      <patternFill patternType="solid">
        <fgColor rgb="FFCCFFFF"/>
        <bgColor indexed="64"/>
      </patternFill>
    </fill>
    <fill>
      <patternFill patternType="solid">
        <fgColor theme="4" tint="-0.499984740745262"/>
        <bgColor indexed="64"/>
      </patternFill>
    </fill>
    <fill>
      <patternFill patternType="solid">
        <fgColor theme="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theme="1"/>
      </left>
      <right style="medium">
        <color theme="1"/>
      </right>
      <top style="medium">
        <color theme="1"/>
      </top>
      <bottom style="medium">
        <color theme="1"/>
      </bottom>
      <diagonal/>
    </border>
    <border>
      <left style="medium">
        <color theme="1" tint="0.14993743705557422"/>
      </left>
      <right style="medium">
        <color theme="1" tint="0.14993743705557422"/>
      </right>
      <top style="medium">
        <color theme="1" tint="0.14993743705557422"/>
      </top>
      <bottom style="medium">
        <color theme="1" tint="0.14993743705557422"/>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bottom style="thin">
        <color rgb="FFC0C0C0"/>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hair">
        <color indexed="64"/>
      </left>
      <right style="thin">
        <color indexed="64"/>
      </right>
      <top style="hair">
        <color indexed="64"/>
      </top>
      <bottom/>
      <diagonal/>
    </border>
    <border>
      <left style="hair">
        <color indexed="64"/>
      </left>
      <right style="thin">
        <color indexed="64"/>
      </right>
      <top/>
      <bottom/>
      <diagonal/>
    </border>
    <border>
      <left style="hair">
        <color indexed="64"/>
      </left>
      <right style="thin">
        <color indexed="64"/>
      </right>
      <top/>
      <bottom style="hair">
        <color indexed="64"/>
      </bottom>
      <diagonal/>
    </border>
    <border>
      <left style="thin">
        <color indexed="64"/>
      </left>
      <right/>
      <top/>
      <bottom style="thin">
        <color indexed="64"/>
      </bottom>
      <diagonal/>
    </border>
    <border>
      <left/>
      <right style="thin">
        <color indexed="64"/>
      </right>
      <top style="thin">
        <color indexed="64"/>
      </top>
      <bottom style="double">
        <color indexed="64"/>
      </bottom>
      <diagonal/>
    </border>
    <border>
      <left style="thin">
        <color indexed="64"/>
      </left>
      <right/>
      <top style="thin">
        <color indexed="64"/>
      </top>
      <bottom/>
      <diagonal/>
    </border>
    <border>
      <left style="thin">
        <color indexed="64"/>
      </left>
      <right style="hair">
        <color indexed="64"/>
      </right>
      <top style="hair">
        <color indexed="64"/>
      </top>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thin">
        <color indexed="64"/>
      </left>
      <right/>
      <top style="thin">
        <color indexed="64"/>
      </top>
      <bottom style="double">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thick">
        <color theme="4" tint="-0.499984740745262"/>
      </bottom>
      <diagonal/>
    </border>
    <border>
      <left/>
      <right style="thick">
        <color theme="4" tint="-0.499984740745262"/>
      </right>
      <top/>
      <bottom/>
      <diagonal/>
    </border>
    <border>
      <left style="thick">
        <color theme="4" tint="-0.499984740745262"/>
      </left>
      <right/>
      <top/>
      <bottom/>
      <diagonal/>
    </border>
    <border>
      <left/>
      <right style="thick">
        <color theme="4" tint="-0.499984740745262"/>
      </right>
      <top/>
      <bottom style="thick">
        <color theme="4" tint="-0.499984740745262"/>
      </bottom>
      <diagonal/>
    </border>
    <border>
      <left style="thick">
        <color theme="4" tint="-0.499984740745262"/>
      </left>
      <right/>
      <top/>
      <bottom style="thick">
        <color theme="4" tint="-0.499984740745262"/>
      </bottom>
      <diagonal/>
    </border>
    <border>
      <left/>
      <right/>
      <top style="thick">
        <color theme="4" tint="-0.499984740745262"/>
      </top>
      <bottom/>
      <diagonal/>
    </border>
    <border>
      <left/>
      <right style="thick">
        <color theme="4" tint="-0.499984740745262"/>
      </right>
      <top style="thick">
        <color theme="4" tint="-0.499984740745262"/>
      </top>
      <bottom/>
      <diagonal/>
    </border>
    <border>
      <left style="thick">
        <color theme="4" tint="-0.499984740745262"/>
      </left>
      <right/>
      <top style="thick">
        <color theme="4" tint="-0.499984740745262"/>
      </top>
      <bottom/>
      <diagonal/>
    </border>
    <border>
      <left style="thick">
        <color theme="4" tint="-0.499984740745262"/>
      </left>
      <right style="thick">
        <color theme="4" tint="-0.499984740745262"/>
      </right>
      <top style="thick">
        <color theme="4" tint="-0.499984740745262"/>
      </top>
      <bottom/>
      <diagonal/>
    </border>
    <border>
      <left style="thick">
        <color theme="4" tint="-0.499984740745262"/>
      </left>
      <right style="thick">
        <color theme="4" tint="-0.499984740745262"/>
      </right>
      <top/>
      <bottom/>
      <diagonal/>
    </border>
    <border>
      <left style="thick">
        <color theme="4" tint="-0.499984740745262"/>
      </left>
      <right style="thick">
        <color theme="4" tint="-0.499984740745262"/>
      </right>
      <top/>
      <bottom style="thick">
        <color theme="4" tint="-0.499984740745262"/>
      </bottom>
      <diagonal/>
    </border>
    <border>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2" fillId="0" borderId="0" applyNumberFormat="0" applyFill="0" applyBorder="0" applyAlignment="0" applyProtection="0"/>
    <xf numFmtId="0" fontId="3" fillId="2" borderId="9" applyNumberFormat="0" applyAlignment="0" applyProtection="0"/>
    <xf numFmtId="0" fontId="4" fillId="3" borderId="10" applyNumberFormat="0" applyAlignment="0" applyProtection="0"/>
    <xf numFmtId="9" fontId="1" fillId="0" borderId="0" applyFont="0" applyFill="0" applyBorder="0" applyAlignment="0" applyProtection="0"/>
    <xf numFmtId="0" fontId="29" fillId="0" borderId="0"/>
  </cellStyleXfs>
  <cellXfs count="341">
    <xf numFmtId="0" fontId="0" fillId="0" borderId="0" xfId="0"/>
    <xf numFmtId="0" fontId="5" fillId="0" borderId="0" xfId="0" applyFont="1" applyAlignment="1" applyProtection="1">
      <alignment horizontal="left"/>
      <protection hidden="1"/>
    </xf>
    <xf numFmtId="0" fontId="6" fillId="0" borderId="0" xfId="0" applyFont="1" applyAlignment="1" applyProtection="1">
      <alignment horizontal="left"/>
      <protection hidden="1"/>
    </xf>
    <xf numFmtId="0" fontId="5" fillId="0" borderId="0" xfId="0" applyFont="1" applyAlignment="1" applyProtection="1">
      <alignment horizontal="left" vertical="center"/>
      <protection hidden="1"/>
    </xf>
    <xf numFmtId="0" fontId="5" fillId="0" borderId="0" xfId="0" applyNumberFormat="1" applyFont="1" applyProtection="1">
      <protection hidden="1"/>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9" fillId="0" borderId="0" xfId="0" applyFont="1" applyProtection="1">
      <protection hidden="1"/>
    </xf>
    <xf numFmtId="0" fontId="9" fillId="0" borderId="0" xfId="0" applyFont="1" applyAlignment="1" applyProtection="1">
      <alignment horizontal="left"/>
      <protection hidden="1"/>
    </xf>
    <xf numFmtId="0" fontId="10" fillId="0" borderId="0" xfId="0" applyFont="1" applyProtection="1">
      <protection hidden="1"/>
    </xf>
    <xf numFmtId="0" fontId="13" fillId="0" borderId="0" xfId="0" applyFont="1"/>
    <xf numFmtId="0" fontId="14" fillId="0" borderId="0" xfId="0" applyFont="1" applyProtection="1">
      <protection hidden="1"/>
    </xf>
    <xf numFmtId="0" fontId="15" fillId="0" borderId="0" xfId="0" applyFont="1" applyProtection="1">
      <protection hidden="1"/>
    </xf>
    <xf numFmtId="0" fontId="16" fillId="0" borderId="0" xfId="0" applyFont="1" applyProtection="1">
      <protection hidden="1"/>
    </xf>
    <xf numFmtId="169" fontId="14" fillId="4" borderId="1" xfId="0" applyNumberFormat="1" applyFont="1" applyFill="1" applyBorder="1" applyAlignment="1" applyProtection="1">
      <alignment horizontal="center"/>
      <protection hidden="1"/>
    </xf>
    <xf numFmtId="0" fontId="14" fillId="4" borderId="1" xfId="0" applyFont="1" applyFill="1" applyBorder="1" applyAlignment="1" applyProtection="1">
      <alignment horizontal="center"/>
      <protection hidden="1"/>
    </xf>
    <xf numFmtId="0" fontId="16" fillId="0" borderId="0" xfId="0" applyFont="1" applyAlignment="1" applyProtection="1">
      <alignment horizontal="center"/>
      <protection hidden="1"/>
    </xf>
    <xf numFmtId="169" fontId="16" fillId="0" borderId="0" xfId="0" applyNumberFormat="1" applyFont="1" applyAlignment="1" applyProtection="1">
      <alignment horizontal="left"/>
      <protection hidden="1"/>
    </xf>
    <xf numFmtId="0" fontId="14" fillId="0" borderId="0" xfId="0" applyFont="1" applyAlignment="1" applyProtection="1">
      <alignment horizontal="center"/>
      <protection hidden="1"/>
    </xf>
    <xf numFmtId="0" fontId="17" fillId="4" borderId="1" xfId="0" applyNumberFormat="1" applyFont="1" applyFill="1" applyBorder="1" applyAlignment="1" applyProtection="1">
      <alignment horizontal="left" vertical="center"/>
      <protection hidden="1"/>
    </xf>
    <xf numFmtId="0" fontId="17" fillId="5" borderId="1" xfId="0" applyFont="1" applyFill="1" applyBorder="1" applyAlignment="1" applyProtection="1">
      <alignment horizontal="center" vertical="center"/>
      <protection hidden="1"/>
    </xf>
    <xf numFmtId="0" fontId="14" fillId="4" borderId="11" xfId="0" applyFont="1" applyFill="1" applyBorder="1" applyProtection="1">
      <protection hidden="1"/>
    </xf>
    <xf numFmtId="0" fontId="14" fillId="0" borderId="0" xfId="0" applyFont="1" applyFill="1" applyBorder="1" applyProtection="1">
      <protection hidden="1"/>
    </xf>
    <xf numFmtId="0" fontId="14" fillId="0" borderId="0" xfId="0" applyNumberFormat="1" applyFont="1" applyAlignment="1" applyProtection="1">
      <alignment horizontal="left"/>
      <protection hidden="1"/>
    </xf>
    <xf numFmtId="0" fontId="14" fillId="0" borderId="0" xfId="0" applyFont="1" applyAlignment="1" applyProtection="1">
      <alignment horizontal="left"/>
      <protection hidden="1"/>
    </xf>
    <xf numFmtId="164" fontId="14" fillId="0" borderId="0" xfId="1" applyFont="1" applyProtection="1">
      <protection hidden="1"/>
    </xf>
    <xf numFmtId="0" fontId="15" fillId="0" borderId="0" xfId="0" applyNumberFormat="1" applyFont="1" applyAlignment="1" applyProtection="1">
      <alignment horizontal="left"/>
      <protection hidden="1"/>
    </xf>
    <xf numFmtId="0" fontId="16" fillId="0" borderId="0" xfId="0" applyNumberFormat="1" applyFont="1" applyAlignment="1" applyProtection="1">
      <alignment horizontal="left"/>
      <protection hidden="1"/>
    </xf>
    <xf numFmtId="0" fontId="17" fillId="5" borderId="1" xfId="0" applyNumberFormat="1" applyFont="1" applyFill="1" applyBorder="1" applyAlignment="1" applyProtection="1">
      <alignment horizontal="center" vertical="center"/>
      <protection hidden="1"/>
    </xf>
    <xf numFmtId="0" fontId="17" fillId="4" borderId="1" xfId="1" applyNumberFormat="1" applyFont="1" applyFill="1" applyBorder="1" applyAlignment="1" applyProtection="1">
      <alignment horizontal="center" vertical="center"/>
      <protection hidden="1"/>
    </xf>
    <xf numFmtId="0" fontId="17" fillId="0" borderId="0" xfId="0" applyNumberFormat="1" applyFont="1" applyAlignment="1" applyProtection="1">
      <alignment horizontal="center" vertical="center"/>
      <protection hidden="1"/>
    </xf>
    <xf numFmtId="0" fontId="14" fillId="4" borderId="12" xfId="0" applyFont="1" applyFill="1" applyBorder="1" applyAlignment="1" applyProtection="1">
      <alignment horizontal="left"/>
      <protection hidden="1"/>
    </xf>
    <xf numFmtId="164" fontId="14" fillId="0" borderId="0" xfId="1" applyFont="1" applyFill="1" applyProtection="1">
      <protection hidden="1"/>
    </xf>
    <xf numFmtId="0" fontId="14" fillId="4" borderId="11" xfId="0" applyFont="1" applyFill="1" applyBorder="1" applyAlignment="1" applyProtection="1">
      <alignment horizontal="left"/>
      <protection hidden="1"/>
    </xf>
    <xf numFmtId="167" fontId="14" fillId="0" borderId="0" xfId="1" applyNumberFormat="1" applyFont="1" applyProtection="1">
      <protection hidden="1"/>
    </xf>
    <xf numFmtId="168" fontId="14" fillId="0" borderId="0" xfId="1" applyNumberFormat="1" applyFont="1" applyProtection="1">
      <protection hidden="1"/>
    </xf>
    <xf numFmtId="0" fontId="15" fillId="0" borderId="0" xfId="0" applyFont="1" applyAlignment="1" applyProtection="1">
      <alignment horizontal="left" vertical="center"/>
      <protection hidden="1"/>
    </xf>
    <xf numFmtId="0" fontId="16" fillId="0" borderId="0" xfId="0" applyFont="1" applyAlignment="1" applyProtection="1">
      <alignment vertical="center"/>
      <protection hidden="1"/>
    </xf>
    <xf numFmtId="164" fontId="14" fillId="0" borderId="0" xfId="1" applyFont="1" applyAlignment="1" applyProtection="1">
      <alignment vertical="center"/>
      <protection hidden="1"/>
    </xf>
    <xf numFmtId="0" fontId="14" fillId="0" borderId="0" xfId="0" applyFont="1" applyAlignment="1" applyProtection="1">
      <alignment vertical="center"/>
      <protection hidden="1"/>
    </xf>
    <xf numFmtId="0" fontId="17" fillId="5" borderId="1" xfId="0" applyNumberFormat="1" applyFont="1" applyFill="1" applyBorder="1" applyAlignment="1" applyProtection="1">
      <alignment horizontal="left" vertical="center"/>
      <protection hidden="1"/>
    </xf>
    <xf numFmtId="0" fontId="17" fillId="5" borderId="1" xfId="1" applyNumberFormat="1" applyFont="1" applyFill="1" applyBorder="1" applyAlignment="1" applyProtection="1">
      <alignment horizontal="center" vertical="center"/>
      <protection hidden="1"/>
    </xf>
    <xf numFmtId="0" fontId="17" fillId="0" borderId="0" xfId="1" applyNumberFormat="1" applyFont="1" applyFill="1" applyBorder="1" applyAlignment="1" applyProtection="1">
      <alignment horizontal="center" vertical="center"/>
      <protection hidden="1"/>
    </xf>
    <xf numFmtId="0" fontId="14" fillId="0" borderId="13" xfId="0" applyFont="1" applyBorder="1" applyAlignment="1" applyProtection="1">
      <alignment horizontal="left"/>
      <protection hidden="1"/>
    </xf>
    <xf numFmtId="167" fontId="14" fillId="0" borderId="21" xfId="1" applyNumberFormat="1" applyFont="1" applyBorder="1" applyProtection="1">
      <protection hidden="1"/>
    </xf>
    <xf numFmtId="167" fontId="14" fillId="0" borderId="0" xfId="1" applyNumberFormat="1" applyFont="1" applyBorder="1" applyProtection="1">
      <protection hidden="1"/>
    </xf>
    <xf numFmtId="168" fontId="14" fillId="0" borderId="14" xfId="1" applyNumberFormat="1" applyFont="1" applyBorder="1" applyProtection="1">
      <protection hidden="1"/>
    </xf>
    <xf numFmtId="167" fontId="14" fillId="0" borderId="13" xfId="1" applyNumberFormat="1" applyFont="1" applyBorder="1" applyProtection="1">
      <protection hidden="1"/>
    </xf>
    <xf numFmtId="167" fontId="14" fillId="0" borderId="2" xfId="1" applyNumberFormat="1" applyFont="1" applyBorder="1" applyProtection="1">
      <protection hidden="1"/>
    </xf>
    <xf numFmtId="168" fontId="14" fillId="0" borderId="15" xfId="1" applyNumberFormat="1" applyFont="1" applyBorder="1" applyProtection="1">
      <protection hidden="1"/>
    </xf>
    <xf numFmtId="0" fontId="17" fillId="0" borderId="19" xfId="0" applyFont="1" applyBorder="1" applyAlignment="1" applyProtection="1">
      <alignment horizontal="left"/>
      <protection hidden="1"/>
    </xf>
    <xf numFmtId="167" fontId="17" fillId="0" borderId="25" xfId="1" applyNumberFormat="1" applyFont="1" applyBorder="1" applyProtection="1">
      <protection hidden="1"/>
    </xf>
    <xf numFmtId="167" fontId="17" fillId="0" borderId="6" xfId="1" applyNumberFormat="1" applyFont="1" applyBorder="1" applyProtection="1">
      <protection hidden="1"/>
    </xf>
    <xf numFmtId="168" fontId="17" fillId="0" borderId="20" xfId="1" applyNumberFormat="1" applyFont="1" applyBorder="1" applyProtection="1">
      <protection hidden="1"/>
    </xf>
    <xf numFmtId="164" fontId="17" fillId="0" borderId="0" xfId="1" applyFont="1" applyProtection="1">
      <protection hidden="1"/>
    </xf>
    <xf numFmtId="0" fontId="17" fillId="0" borderId="0" xfId="0" applyFont="1" applyProtection="1">
      <protection hidden="1"/>
    </xf>
    <xf numFmtId="0" fontId="15" fillId="0" borderId="0" xfId="0" applyNumberFormat="1" applyFont="1" applyAlignment="1" applyProtection="1">
      <alignment horizontal="left" vertical="center"/>
      <protection hidden="1"/>
    </xf>
    <xf numFmtId="167" fontId="14" fillId="0" borderId="0" xfId="1" applyNumberFormat="1" applyFont="1" applyAlignment="1" applyProtection="1">
      <alignment vertical="center"/>
      <protection hidden="1"/>
    </xf>
    <xf numFmtId="168" fontId="14" fillId="0" borderId="0" xfId="1" applyNumberFormat="1" applyFont="1" applyAlignment="1" applyProtection="1">
      <alignment vertical="center"/>
      <protection hidden="1"/>
    </xf>
    <xf numFmtId="49" fontId="16" fillId="0" borderId="0" xfId="0" applyNumberFormat="1" applyFont="1" applyAlignment="1" applyProtection="1">
      <alignment vertical="center"/>
      <protection hidden="1"/>
    </xf>
    <xf numFmtId="0" fontId="14" fillId="0" borderId="0" xfId="0" applyNumberFormat="1" applyFont="1" applyProtection="1">
      <protection hidden="1"/>
    </xf>
    <xf numFmtId="49" fontId="17" fillId="0" borderId="13" xfId="0" applyNumberFormat="1" applyFont="1" applyBorder="1" applyAlignment="1" applyProtection="1">
      <alignment horizontal="left"/>
      <protection hidden="1"/>
    </xf>
    <xf numFmtId="167" fontId="17" fillId="0" borderId="21" xfId="1" applyNumberFormat="1" applyFont="1" applyBorder="1" applyProtection="1">
      <protection hidden="1"/>
    </xf>
    <xf numFmtId="167" fontId="17" fillId="0" borderId="0" xfId="1" applyNumberFormat="1" applyFont="1" applyBorder="1" applyProtection="1">
      <protection hidden="1"/>
    </xf>
    <xf numFmtId="168" fontId="17" fillId="0" borderId="14" xfId="1" applyNumberFormat="1" applyFont="1" applyBorder="1" applyProtection="1">
      <protection hidden="1"/>
    </xf>
    <xf numFmtId="167" fontId="17" fillId="0" borderId="13" xfId="1" applyNumberFormat="1" applyFont="1" applyBorder="1" applyProtection="1">
      <protection hidden="1"/>
    </xf>
    <xf numFmtId="49" fontId="14" fillId="0" borderId="13" xfId="0" applyNumberFormat="1" applyFont="1" applyBorder="1" applyAlignment="1" applyProtection="1">
      <alignment horizontal="left"/>
      <protection hidden="1"/>
    </xf>
    <xf numFmtId="167" fontId="17" fillId="0" borderId="26" xfId="1" applyNumberFormat="1" applyFont="1" applyBorder="1" applyProtection="1">
      <protection hidden="1"/>
    </xf>
    <xf numFmtId="167" fontId="17" fillId="0" borderId="27" xfId="1" applyNumberFormat="1" applyFont="1" applyBorder="1" applyProtection="1">
      <protection hidden="1"/>
    </xf>
    <xf numFmtId="168" fontId="17" fillId="0" borderId="28" xfId="1" applyNumberFormat="1" applyFont="1" applyBorder="1" applyProtection="1">
      <protection hidden="1"/>
    </xf>
    <xf numFmtId="49" fontId="17" fillId="0" borderId="19" xfId="0" applyNumberFormat="1" applyFont="1" applyBorder="1" applyAlignment="1" applyProtection="1">
      <alignment horizontal="left"/>
      <protection hidden="1"/>
    </xf>
    <xf numFmtId="49" fontId="18" fillId="0" borderId="0" xfId="0" applyNumberFormat="1" applyFont="1" applyAlignment="1" applyProtection="1">
      <alignment horizontal="left"/>
      <protection hidden="1"/>
    </xf>
    <xf numFmtId="167" fontId="18" fillId="0" borderId="0" xfId="1" applyNumberFormat="1" applyFont="1" applyProtection="1">
      <protection hidden="1"/>
    </xf>
    <xf numFmtId="168" fontId="18" fillId="0" borderId="0" xfId="1" applyNumberFormat="1" applyFont="1" applyProtection="1">
      <protection hidden="1"/>
    </xf>
    <xf numFmtId="0" fontId="18" fillId="0" borderId="0" xfId="0" applyFont="1" applyProtection="1">
      <protection hidden="1"/>
    </xf>
    <xf numFmtId="164" fontId="18" fillId="0" borderId="0" xfId="1" applyFont="1" applyProtection="1">
      <protection hidden="1"/>
    </xf>
    <xf numFmtId="0" fontId="19" fillId="0" borderId="0" xfId="0" applyFont="1" applyAlignment="1" applyProtection="1">
      <alignment horizontal="left"/>
      <protection hidden="1"/>
    </xf>
    <xf numFmtId="49" fontId="19" fillId="0" borderId="0" xfId="0" applyNumberFormat="1" applyFont="1" applyAlignment="1" applyProtection="1">
      <alignment horizontal="left"/>
      <protection hidden="1"/>
    </xf>
    <xf numFmtId="167" fontId="19" fillId="0" borderId="0" xfId="1" applyNumberFormat="1" applyFont="1" applyAlignment="1" applyProtection="1">
      <alignment horizontal="center"/>
      <protection hidden="1"/>
    </xf>
    <xf numFmtId="167" fontId="19" fillId="0" borderId="0" xfId="1" applyNumberFormat="1" applyFont="1" applyProtection="1">
      <protection hidden="1"/>
    </xf>
    <xf numFmtId="168" fontId="19" fillId="0" borderId="0" xfId="1" applyNumberFormat="1" applyFont="1" applyProtection="1">
      <protection hidden="1"/>
    </xf>
    <xf numFmtId="0" fontId="19" fillId="0" borderId="0" xfId="0" applyFont="1" applyProtection="1">
      <protection hidden="1"/>
    </xf>
    <xf numFmtId="164" fontId="19" fillId="0" borderId="0" xfId="1" applyFont="1" applyProtection="1">
      <protection hidden="1"/>
    </xf>
    <xf numFmtId="49" fontId="14" fillId="0" borderId="0" xfId="0" applyNumberFormat="1" applyFont="1" applyAlignment="1" applyProtection="1">
      <alignment horizontal="left"/>
      <protection hidden="1"/>
    </xf>
    <xf numFmtId="0" fontId="17" fillId="0" borderId="13" xfId="0" applyFont="1" applyBorder="1" applyAlignment="1" applyProtection="1">
      <alignment horizontal="left"/>
      <protection hidden="1"/>
    </xf>
    <xf numFmtId="167" fontId="14" fillId="0" borderId="26" xfId="1" applyNumberFormat="1" applyFont="1" applyBorder="1" applyProtection="1">
      <protection hidden="1"/>
    </xf>
    <xf numFmtId="167" fontId="14" fillId="0" borderId="27" xfId="1" applyNumberFormat="1" applyFont="1" applyBorder="1" applyProtection="1">
      <protection hidden="1"/>
    </xf>
    <xf numFmtId="168" fontId="14" fillId="0" borderId="28" xfId="1" applyNumberFormat="1" applyFont="1" applyBorder="1" applyProtection="1">
      <protection hidden="1"/>
    </xf>
    <xf numFmtId="164" fontId="15" fillId="0" borderId="0" xfId="1" applyFont="1" applyProtection="1">
      <protection hidden="1"/>
    </xf>
    <xf numFmtId="0" fontId="14" fillId="0" borderId="0" xfId="0" applyNumberFormat="1" applyFont="1" applyAlignment="1" applyProtection="1">
      <alignment vertical="center"/>
      <protection hidden="1"/>
    </xf>
    <xf numFmtId="0" fontId="14" fillId="5" borderId="12" xfId="0" applyFont="1" applyFill="1" applyBorder="1" applyAlignment="1" applyProtection="1">
      <alignment horizontal="center"/>
      <protection hidden="1"/>
    </xf>
    <xf numFmtId="0" fontId="20" fillId="0" borderId="0" xfId="0" applyFont="1" applyAlignment="1" applyProtection="1">
      <alignment horizontal="left"/>
      <protection hidden="1"/>
    </xf>
    <xf numFmtId="167" fontId="10" fillId="0" borderId="0" xfId="1" applyNumberFormat="1" applyFont="1" applyProtection="1">
      <protection hidden="1"/>
    </xf>
    <xf numFmtId="168" fontId="10" fillId="0" borderId="0" xfId="1" applyNumberFormat="1" applyFont="1" applyProtection="1">
      <protection hidden="1"/>
    </xf>
    <xf numFmtId="164" fontId="10" fillId="0" borderId="0" xfId="1" applyFont="1" applyProtection="1">
      <protection hidden="1"/>
    </xf>
    <xf numFmtId="0" fontId="11" fillId="0" borderId="0" xfId="0" applyFont="1" applyAlignment="1" applyProtection="1">
      <alignment horizontal="left" vertical="center"/>
      <protection hidden="1"/>
    </xf>
    <xf numFmtId="0" fontId="20" fillId="0" borderId="0" xfId="0" applyFont="1" applyAlignment="1" applyProtection="1">
      <alignment horizontal="left" vertical="center"/>
      <protection hidden="1"/>
    </xf>
    <xf numFmtId="0" fontId="21" fillId="0" borderId="0" xfId="0" applyFont="1" applyAlignment="1" applyProtection="1">
      <alignment vertical="center"/>
      <protection hidden="1"/>
    </xf>
    <xf numFmtId="164" fontId="10" fillId="0" borderId="0" xfId="1" applyFont="1" applyAlignment="1" applyProtection="1">
      <alignment vertical="center"/>
      <protection hidden="1"/>
    </xf>
    <xf numFmtId="0" fontId="10" fillId="0" borderId="0" xfId="0" applyFont="1" applyAlignment="1" applyProtection="1">
      <alignment vertical="center"/>
      <protection hidden="1"/>
    </xf>
    <xf numFmtId="0" fontId="20" fillId="0" borderId="0" xfId="0" applyNumberFormat="1" applyFont="1" applyProtection="1">
      <protection hidden="1"/>
    </xf>
    <xf numFmtId="0" fontId="12" fillId="5" borderId="1" xfId="0" applyNumberFormat="1" applyFont="1" applyFill="1" applyBorder="1" applyAlignment="1" applyProtection="1">
      <alignment horizontal="left" vertical="center"/>
      <protection hidden="1"/>
    </xf>
    <xf numFmtId="0" fontId="12" fillId="5" borderId="1" xfId="1" applyNumberFormat="1" applyFont="1" applyFill="1" applyBorder="1" applyAlignment="1" applyProtection="1">
      <alignment horizontal="center" vertical="center"/>
      <protection hidden="1"/>
    </xf>
    <xf numFmtId="0" fontId="12" fillId="0" borderId="0" xfId="1" applyNumberFormat="1" applyFont="1" applyFill="1" applyBorder="1" applyAlignment="1" applyProtection="1">
      <alignment horizontal="center" vertical="center"/>
      <protection hidden="1"/>
    </xf>
    <xf numFmtId="0" fontId="12" fillId="0" borderId="0" xfId="0" applyNumberFormat="1" applyFont="1" applyAlignment="1" applyProtection="1">
      <alignment horizontal="center" vertical="center"/>
      <protection hidden="1"/>
    </xf>
    <xf numFmtId="0" fontId="10" fillId="0" borderId="13" xfId="0" applyFont="1" applyBorder="1" applyAlignment="1" applyProtection="1">
      <alignment horizontal="left"/>
      <protection hidden="1"/>
    </xf>
    <xf numFmtId="167" fontId="10" fillId="0" borderId="21" xfId="1" applyNumberFormat="1" applyFont="1" applyBorder="1" applyProtection="1">
      <protection hidden="1"/>
    </xf>
    <xf numFmtId="167" fontId="10" fillId="0" borderId="0" xfId="1" applyNumberFormat="1" applyFont="1" applyBorder="1" applyProtection="1">
      <protection hidden="1"/>
    </xf>
    <xf numFmtId="168" fontId="10" fillId="0" borderId="14" xfId="1" applyNumberFormat="1" applyFont="1" applyBorder="1" applyProtection="1">
      <protection hidden="1"/>
    </xf>
    <xf numFmtId="167" fontId="10" fillId="0" borderId="13" xfId="1" applyNumberFormat="1" applyFont="1" applyBorder="1" applyProtection="1">
      <protection hidden="1"/>
    </xf>
    <xf numFmtId="167" fontId="10" fillId="0" borderId="2" xfId="1" applyNumberFormat="1" applyFont="1" applyBorder="1" applyProtection="1">
      <protection hidden="1"/>
    </xf>
    <xf numFmtId="168" fontId="10" fillId="0" borderId="15" xfId="1" applyNumberFormat="1" applyFont="1" applyBorder="1" applyProtection="1">
      <protection hidden="1"/>
    </xf>
    <xf numFmtId="166" fontId="22" fillId="0" borderId="0" xfId="5" applyNumberFormat="1" applyFont="1" applyAlignment="1" applyProtection="1">
      <alignment horizontal="left"/>
      <protection hidden="1"/>
    </xf>
    <xf numFmtId="166" fontId="11" fillId="0" borderId="13" xfId="5" applyNumberFormat="1" applyFont="1" applyBorder="1" applyAlignment="1" applyProtection="1">
      <alignment horizontal="left"/>
      <protection hidden="1"/>
    </xf>
    <xf numFmtId="168" fontId="11" fillId="0" borderId="13" xfId="5" applyNumberFormat="1" applyFont="1" applyBorder="1" applyProtection="1">
      <protection hidden="1"/>
    </xf>
    <xf numFmtId="168" fontId="11" fillId="0" borderId="0" xfId="5" applyNumberFormat="1" applyFont="1" applyBorder="1" applyProtection="1">
      <protection hidden="1"/>
    </xf>
    <xf numFmtId="168" fontId="11" fillId="0" borderId="14" xfId="5" applyNumberFormat="1" applyFont="1" applyBorder="1" applyProtection="1">
      <protection hidden="1"/>
    </xf>
    <xf numFmtId="166" fontId="11" fillId="0" borderId="0" xfId="5" applyNumberFormat="1" applyFont="1" applyProtection="1">
      <protection hidden="1"/>
    </xf>
    <xf numFmtId="167" fontId="10" fillId="0" borderId="22" xfId="1" applyNumberFormat="1" applyFont="1" applyBorder="1" applyProtection="1">
      <protection hidden="1"/>
    </xf>
    <xf numFmtId="167" fontId="10" fillId="0" borderId="3" xfId="1" applyNumberFormat="1" applyFont="1" applyBorder="1" applyProtection="1">
      <protection hidden="1"/>
    </xf>
    <xf numFmtId="168" fontId="10" fillId="0" borderId="16" xfId="1" applyNumberFormat="1" applyFont="1" applyBorder="1" applyProtection="1">
      <protection hidden="1"/>
    </xf>
    <xf numFmtId="167" fontId="10" fillId="0" borderId="23" xfId="1" applyNumberFormat="1" applyFont="1" applyBorder="1" applyProtection="1">
      <protection hidden="1"/>
    </xf>
    <xf numFmtId="167" fontId="10" fillId="0" borderId="4" xfId="1" applyNumberFormat="1" applyFont="1" applyBorder="1" applyProtection="1">
      <protection hidden="1"/>
    </xf>
    <xf numFmtId="168" fontId="10" fillId="0" borderId="17" xfId="1" applyNumberFormat="1" applyFont="1" applyBorder="1" applyProtection="1">
      <protection hidden="1"/>
    </xf>
    <xf numFmtId="167" fontId="10" fillId="0" borderId="24" xfId="1" applyNumberFormat="1" applyFont="1" applyBorder="1" applyProtection="1">
      <protection hidden="1"/>
    </xf>
    <xf numFmtId="167" fontId="10" fillId="0" borderId="5" xfId="1" applyNumberFormat="1" applyFont="1" applyBorder="1" applyProtection="1">
      <protection hidden="1"/>
    </xf>
    <xf numFmtId="168" fontId="10" fillId="0" borderId="18" xfId="1" applyNumberFormat="1" applyFont="1" applyBorder="1" applyProtection="1">
      <protection hidden="1"/>
    </xf>
    <xf numFmtId="0" fontId="23" fillId="0" borderId="0" xfId="0" applyFont="1" applyAlignment="1" applyProtection="1">
      <alignment horizontal="left"/>
      <protection hidden="1"/>
    </xf>
    <xf numFmtId="0" fontId="12" fillId="0" borderId="19" xfId="0" applyFont="1" applyBorder="1" applyAlignment="1" applyProtection="1">
      <alignment horizontal="left"/>
      <protection hidden="1"/>
    </xf>
    <xf numFmtId="167" fontId="12" fillId="0" borderId="25" xfId="1" applyNumberFormat="1" applyFont="1" applyBorder="1" applyProtection="1">
      <protection hidden="1"/>
    </xf>
    <xf numFmtId="167" fontId="12" fillId="0" borderId="6" xfId="1" applyNumberFormat="1" applyFont="1" applyBorder="1" applyProtection="1">
      <protection hidden="1"/>
    </xf>
    <xf numFmtId="168" fontId="12" fillId="0" borderId="20" xfId="1" applyNumberFormat="1" applyFont="1" applyBorder="1" applyProtection="1">
      <protection hidden="1"/>
    </xf>
    <xf numFmtId="164" fontId="12" fillId="0" borderId="0" xfId="1" applyFont="1" applyProtection="1">
      <protection hidden="1"/>
    </xf>
    <xf numFmtId="0" fontId="12" fillId="0" borderId="0" xfId="0" applyFont="1" applyProtection="1">
      <protection hidden="1"/>
    </xf>
    <xf numFmtId="0" fontId="10" fillId="0" borderId="0" xfId="0" applyFont="1" applyAlignment="1" applyProtection="1">
      <alignment horizontal="left"/>
      <protection hidden="1"/>
    </xf>
    <xf numFmtId="168" fontId="10" fillId="0" borderId="0" xfId="1" applyNumberFormat="1" applyFont="1" applyBorder="1" applyProtection="1">
      <protection hidden="1"/>
    </xf>
    <xf numFmtId="0" fontId="24" fillId="0" borderId="0" xfId="0" applyFont="1" applyProtection="1">
      <protection hidden="1"/>
    </xf>
    <xf numFmtId="0" fontId="1" fillId="0" borderId="0" xfId="0" applyFont="1" applyAlignment="1" applyProtection="1">
      <protection hidden="1"/>
    </xf>
    <xf numFmtId="0" fontId="25" fillId="0" borderId="0" xfId="0" applyFont="1" applyAlignment="1" applyProtection="1">
      <alignment horizontal="justify" wrapText="1"/>
      <protection hidden="1"/>
    </xf>
    <xf numFmtId="0" fontId="26" fillId="0" borderId="0" xfId="0" applyFont="1" applyAlignment="1" applyProtection="1">
      <alignment horizontal="justify" wrapText="1"/>
      <protection hidden="1"/>
    </xf>
    <xf numFmtId="0" fontId="1" fillId="0" borderId="0" xfId="0" applyFont="1" applyAlignment="1" applyProtection="1">
      <alignment horizontal="justify" wrapText="1"/>
      <protection hidden="1"/>
    </xf>
    <xf numFmtId="0" fontId="27" fillId="0" borderId="0" xfId="0" applyFont="1" applyAlignment="1" applyProtection="1">
      <alignment horizontal="justify" wrapText="1"/>
      <protection hidden="1"/>
    </xf>
    <xf numFmtId="0" fontId="1" fillId="0" borderId="0" xfId="0" applyFont="1" applyAlignment="1" applyProtection="1">
      <alignment wrapText="1"/>
      <protection hidden="1"/>
    </xf>
    <xf numFmtId="0" fontId="28" fillId="0" borderId="0" xfId="0" applyFont="1" applyAlignment="1" applyProtection="1">
      <alignment horizontal="justify" wrapText="1"/>
      <protection hidden="1"/>
    </xf>
    <xf numFmtId="0" fontId="30" fillId="6" borderId="0" xfId="6" applyFont="1" applyFill="1"/>
    <xf numFmtId="0" fontId="31" fillId="6" borderId="0" xfId="6" applyFont="1" applyFill="1" applyAlignment="1">
      <alignment horizontal="center"/>
    </xf>
    <xf numFmtId="0" fontId="30" fillId="6" borderId="0" xfId="6" applyFont="1" applyFill="1" applyAlignment="1">
      <alignment horizontal="center"/>
    </xf>
    <xf numFmtId="0" fontId="30" fillId="0" borderId="0" xfId="6" applyFont="1"/>
    <xf numFmtId="0" fontId="30" fillId="7" borderId="0" xfId="6" applyFont="1" applyFill="1" applyAlignment="1">
      <alignment horizontal="left" indent="1"/>
    </xf>
    <xf numFmtId="0" fontId="32" fillId="7" borderId="0" xfId="6" applyFont="1" applyFill="1" applyAlignment="1">
      <alignment horizontal="center"/>
    </xf>
    <xf numFmtId="0" fontId="33" fillId="7" borderId="0" xfId="6" applyFont="1" applyFill="1" applyAlignment="1">
      <alignment horizontal="center"/>
    </xf>
    <xf numFmtId="166" fontId="30" fillId="7" borderId="0" xfId="6" applyNumberFormat="1" applyFont="1" applyFill="1" applyAlignment="1">
      <alignment horizontal="left" indent="1"/>
    </xf>
    <xf numFmtId="166" fontId="32" fillId="7" borderId="0" xfId="6" applyNumberFormat="1" applyFont="1" applyFill="1" applyAlignment="1">
      <alignment horizontal="center"/>
    </xf>
    <xf numFmtId="166" fontId="30" fillId="7" borderId="0" xfId="5" applyNumberFormat="1" applyFont="1" applyFill="1" applyBorder="1" applyAlignment="1">
      <alignment horizontal="center"/>
    </xf>
    <xf numFmtId="0" fontId="30" fillId="7" borderId="29" xfId="6" applyFont="1" applyFill="1" applyBorder="1" applyAlignment="1">
      <alignment horizontal="left" indent="1"/>
    </xf>
    <xf numFmtId="0" fontId="32" fillId="7" borderId="29" xfId="6" applyFont="1" applyFill="1" applyBorder="1" applyAlignment="1">
      <alignment horizontal="center"/>
    </xf>
    <xf numFmtId="166" fontId="30" fillId="7" borderId="29" xfId="5" applyNumberFormat="1" applyFont="1" applyFill="1" applyBorder="1" applyAlignment="1">
      <alignment horizontal="center"/>
    </xf>
    <xf numFmtId="0" fontId="34" fillId="0" borderId="0" xfId="6" applyFont="1"/>
    <xf numFmtId="0" fontId="35" fillId="0" borderId="0" xfId="6" applyFont="1" applyAlignment="1">
      <alignment horizontal="center"/>
    </xf>
    <xf numFmtId="0" fontId="34" fillId="0" borderId="0" xfId="6" applyFont="1" applyAlignment="1">
      <alignment horizontal="center"/>
    </xf>
    <xf numFmtId="0" fontId="31" fillId="0" borderId="0" xfId="6" applyFont="1" applyAlignment="1">
      <alignment horizontal="center"/>
    </xf>
    <xf numFmtId="0" fontId="30" fillId="0" borderId="0" xfId="6" applyFont="1" applyAlignment="1">
      <alignment horizontal="center"/>
    </xf>
    <xf numFmtId="0" fontId="30" fillId="0" borderId="0" xfId="1" applyNumberFormat="1" applyFont="1" applyBorder="1"/>
    <xf numFmtId="170" fontId="30" fillId="0" borderId="0" xfId="1" applyNumberFormat="1" applyFont="1" applyBorder="1"/>
    <xf numFmtId="170" fontId="31" fillId="0" borderId="0" xfId="1" applyNumberFormat="1" applyFont="1" applyBorder="1" applyAlignment="1">
      <alignment horizontal="center"/>
    </xf>
    <xf numFmtId="170" fontId="30" fillId="0" borderId="0" xfId="1" applyNumberFormat="1" applyFont="1" applyBorder="1" applyAlignment="1">
      <alignment horizontal="center"/>
    </xf>
    <xf numFmtId="170" fontId="30" fillId="0" borderId="0" xfId="1" applyNumberFormat="1" applyFont="1" applyFill="1" applyBorder="1"/>
    <xf numFmtId="166" fontId="30" fillId="0" borderId="0" xfId="5" applyNumberFormat="1" applyFont="1" applyBorder="1"/>
    <xf numFmtId="166" fontId="31" fillId="0" borderId="0" xfId="5" applyNumberFormat="1" applyFont="1" applyBorder="1" applyAlignment="1">
      <alignment horizontal="center"/>
    </xf>
    <xf numFmtId="166" fontId="30" fillId="0" borderId="0" xfId="5" applyNumberFormat="1" applyFont="1" applyBorder="1" applyAlignment="1">
      <alignment horizontal="center"/>
    </xf>
    <xf numFmtId="166" fontId="30" fillId="0" borderId="0" xfId="5" applyNumberFormat="1" applyFont="1" applyFill="1" applyBorder="1"/>
    <xf numFmtId="3" fontId="30" fillId="0" borderId="0" xfId="6" applyNumberFormat="1" applyFont="1" applyAlignment="1">
      <alignment horizontal="center"/>
    </xf>
    <xf numFmtId="3" fontId="30" fillId="0" borderId="0" xfId="1" applyNumberFormat="1" applyFont="1" applyBorder="1" applyAlignment="1">
      <alignment horizontal="center"/>
    </xf>
    <xf numFmtId="3" fontId="31" fillId="0" borderId="0" xfId="6" applyNumberFormat="1" applyFont="1" applyAlignment="1">
      <alignment horizontal="center"/>
    </xf>
    <xf numFmtId="1" fontId="30" fillId="0" borderId="0" xfId="6" applyNumberFormat="1" applyFont="1" applyAlignment="1">
      <alignment horizontal="center"/>
    </xf>
    <xf numFmtId="1" fontId="30" fillId="0" borderId="0" xfId="1" applyNumberFormat="1" applyFont="1" applyBorder="1" applyAlignment="1">
      <alignment horizontal="center"/>
    </xf>
    <xf numFmtId="1" fontId="31" fillId="0" borderId="0" xfId="6" applyNumberFormat="1" applyFont="1" applyAlignment="1">
      <alignment horizontal="center"/>
    </xf>
    <xf numFmtId="0" fontId="36" fillId="0" borderId="0" xfId="6" applyFont="1" applyAlignment="1">
      <alignment horizontal="center"/>
    </xf>
    <xf numFmtId="0" fontId="37" fillId="0" borderId="0" xfId="1" applyNumberFormat="1" applyFont="1" applyBorder="1"/>
    <xf numFmtId="170" fontId="37" fillId="0" borderId="0" xfId="1" applyNumberFormat="1" applyFont="1" applyBorder="1"/>
    <xf numFmtId="170" fontId="38" fillId="0" borderId="0" xfId="1" applyNumberFormat="1" applyFont="1" applyBorder="1" applyAlignment="1">
      <alignment horizontal="center"/>
    </xf>
    <xf numFmtId="170" fontId="37" fillId="0" borderId="0" xfId="1" applyNumberFormat="1" applyFont="1" applyBorder="1" applyAlignment="1">
      <alignment horizontal="center"/>
    </xf>
    <xf numFmtId="170" fontId="37" fillId="0" borderId="0" xfId="1" applyNumberFormat="1" applyFont="1" applyFill="1" applyBorder="1"/>
    <xf numFmtId="0" fontId="37" fillId="0" borderId="0" xfId="6" applyFont="1"/>
    <xf numFmtId="0" fontId="37" fillId="0" borderId="0" xfId="6" applyFont="1" applyAlignment="1">
      <alignment horizontal="center"/>
    </xf>
    <xf numFmtId="1" fontId="37" fillId="0" borderId="0" xfId="6" applyNumberFormat="1" applyFont="1" applyAlignment="1">
      <alignment horizontal="center"/>
    </xf>
    <xf numFmtId="1" fontId="37" fillId="0" borderId="0" xfId="1" applyNumberFormat="1" applyFont="1" applyBorder="1" applyAlignment="1">
      <alignment horizontal="center"/>
    </xf>
    <xf numFmtId="1" fontId="38" fillId="0" borderId="0" xfId="6" applyNumberFormat="1" applyFont="1" applyAlignment="1">
      <alignment horizontal="center"/>
    </xf>
    <xf numFmtId="171" fontId="10" fillId="0" borderId="0" xfId="1" applyNumberFormat="1" applyFont="1" applyProtection="1">
      <protection hidden="1"/>
    </xf>
    <xf numFmtId="166" fontId="10" fillId="0" borderId="0" xfId="5" applyNumberFormat="1" applyFont="1" applyProtection="1">
      <protection hidden="1"/>
    </xf>
    <xf numFmtId="166" fontId="20" fillId="0" borderId="0" xfId="5" applyNumberFormat="1" applyFont="1" applyAlignment="1" applyProtection="1">
      <alignment horizontal="left"/>
      <protection hidden="1"/>
    </xf>
    <xf numFmtId="0" fontId="10" fillId="0" borderId="0" xfId="0" applyNumberFormat="1" applyFont="1" applyAlignment="1" applyProtection="1">
      <alignment horizontal="left"/>
      <protection hidden="1"/>
    </xf>
    <xf numFmtId="0" fontId="10" fillId="0" borderId="0" xfId="5" applyNumberFormat="1" applyFont="1" applyAlignment="1" applyProtection="1">
      <alignment horizontal="left"/>
      <protection hidden="1"/>
    </xf>
    <xf numFmtId="0" fontId="34" fillId="7" borderId="0" xfId="6" applyFont="1" applyFill="1" applyAlignment="1">
      <alignment horizontal="center"/>
    </xf>
    <xf numFmtId="0" fontId="30" fillId="0" borderId="30" xfId="6" applyFont="1" applyFill="1" applyBorder="1"/>
    <xf numFmtId="0" fontId="30" fillId="0" borderId="0" xfId="6" applyFont="1" applyFill="1" applyBorder="1"/>
    <xf numFmtId="0" fontId="30" fillId="0" borderId="31" xfId="6" applyFont="1" applyFill="1" applyBorder="1"/>
    <xf numFmtId="170" fontId="30" fillId="0" borderId="0" xfId="1" applyNumberFormat="1" applyFont="1" applyBorder="1" applyAlignment="1">
      <alignment horizontal="right"/>
    </xf>
    <xf numFmtId="0" fontId="37" fillId="0" borderId="0" xfId="1" applyNumberFormat="1" applyFont="1" applyBorder="1" applyAlignment="1">
      <alignment horizontal="center"/>
    </xf>
    <xf numFmtId="170" fontId="37" fillId="0" borderId="0" xfId="1" applyNumberFormat="1" applyFont="1" applyBorder="1" applyAlignment="1">
      <alignment horizontal="right"/>
    </xf>
    <xf numFmtId="0" fontId="30" fillId="6" borderId="0" xfId="6" applyFont="1" applyFill="1" applyAlignment="1">
      <alignment vertical="center"/>
    </xf>
    <xf numFmtId="0" fontId="39" fillId="0" borderId="30" xfId="6" applyFont="1" applyFill="1" applyBorder="1" applyAlignment="1">
      <alignment horizontal="center" vertical="center"/>
    </xf>
    <xf numFmtId="0" fontId="30" fillId="0" borderId="0" xfId="6" applyFont="1" applyAlignment="1">
      <alignment vertical="center"/>
    </xf>
    <xf numFmtId="0" fontId="30" fillId="0" borderId="32" xfId="6" applyFont="1" applyFill="1" applyBorder="1"/>
    <xf numFmtId="0" fontId="30" fillId="0" borderId="29" xfId="6" applyFont="1" applyFill="1" applyBorder="1"/>
    <xf numFmtId="0" fontId="30" fillId="0" borderId="33" xfId="6" applyFont="1" applyFill="1" applyBorder="1"/>
    <xf numFmtId="0" fontId="31" fillId="0" borderId="29" xfId="6" applyFont="1" applyFill="1" applyBorder="1" applyAlignment="1">
      <alignment horizontal="center"/>
    </xf>
    <xf numFmtId="0" fontId="30" fillId="0" borderId="29" xfId="6" applyFont="1" applyFill="1" applyBorder="1" applyAlignment="1">
      <alignment horizontal="center"/>
    </xf>
    <xf numFmtId="0" fontId="30" fillId="0" borderId="0" xfId="6" applyNumberFormat="1" applyFont="1"/>
    <xf numFmtId="0" fontId="30" fillId="0" borderId="34" xfId="6" applyFont="1" applyFill="1" applyBorder="1"/>
    <xf numFmtId="0" fontId="30" fillId="0" borderId="35" xfId="6" applyFont="1" applyFill="1" applyBorder="1"/>
    <xf numFmtId="0" fontId="16" fillId="0" borderId="13" xfId="0" applyFont="1" applyBorder="1" applyAlignment="1" applyProtection="1">
      <alignment horizontal="left"/>
      <protection hidden="1"/>
    </xf>
    <xf numFmtId="3" fontId="30" fillId="0" borderId="29" xfId="6" applyNumberFormat="1" applyFont="1" applyFill="1" applyBorder="1" applyAlignment="1">
      <alignment horizontal="center"/>
    </xf>
    <xf numFmtId="3" fontId="30" fillId="0" borderId="30" xfId="6" applyNumberFormat="1" applyFont="1" applyFill="1" applyBorder="1" applyAlignment="1">
      <alignment horizontal="center"/>
    </xf>
    <xf numFmtId="0" fontId="30" fillId="6" borderId="0" xfId="6" applyFont="1" applyFill="1" applyAlignment="1"/>
    <xf numFmtId="0" fontId="30" fillId="0" borderId="0" xfId="6" applyFont="1" applyAlignment="1"/>
    <xf numFmtId="0" fontId="30" fillId="0" borderId="36" xfId="6" applyFont="1" applyFill="1" applyBorder="1"/>
    <xf numFmtId="0" fontId="31" fillId="0" borderId="0" xfId="6" applyFont="1" applyFill="1" applyBorder="1" applyAlignment="1">
      <alignment horizontal="center"/>
    </xf>
    <xf numFmtId="0" fontId="30" fillId="0" borderId="31" xfId="6" applyFont="1" applyFill="1" applyBorder="1" applyAlignment="1"/>
    <xf numFmtId="0" fontId="30" fillId="0" borderId="0" xfId="6" applyNumberFormat="1" applyFont="1" applyAlignment="1">
      <alignment horizontal="center"/>
    </xf>
    <xf numFmtId="0" fontId="37" fillId="0" borderId="0" xfId="1" applyNumberFormat="1" applyFont="1" applyBorder="1" applyAlignment="1">
      <alignment horizontal="left"/>
    </xf>
    <xf numFmtId="0" fontId="30" fillId="0" borderId="0" xfId="6" applyNumberFormat="1" applyFont="1" applyAlignment="1">
      <alignment horizontal="left"/>
    </xf>
    <xf numFmtId="0" fontId="43" fillId="0" borderId="0" xfId="6" applyNumberFormat="1" applyFont="1" applyAlignment="1">
      <alignment horizontal="center"/>
    </xf>
    <xf numFmtId="0" fontId="43" fillId="0" borderId="0" xfId="1" applyNumberFormat="1" applyFont="1" applyBorder="1" applyAlignment="1">
      <alignment horizontal="left"/>
    </xf>
    <xf numFmtId="0" fontId="43" fillId="0" borderId="0" xfId="6" applyNumberFormat="1" applyFont="1" applyAlignment="1">
      <alignment horizontal="left"/>
    </xf>
    <xf numFmtId="0" fontId="38" fillId="0" borderId="0" xfId="1" applyNumberFormat="1" applyFont="1" applyBorder="1" applyAlignment="1">
      <alignment horizontal="center"/>
    </xf>
    <xf numFmtId="0" fontId="43" fillId="0" borderId="0" xfId="1" applyNumberFormat="1" applyFont="1" applyBorder="1" applyAlignment="1">
      <alignment horizontal="center"/>
    </xf>
    <xf numFmtId="0" fontId="37" fillId="0" borderId="0" xfId="1" applyNumberFormat="1" applyFont="1" applyFill="1" applyBorder="1" applyAlignment="1">
      <alignment horizontal="center"/>
    </xf>
    <xf numFmtId="0" fontId="37" fillId="0" borderId="0" xfId="6" applyNumberFormat="1" applyFont="1" applyAlignment="1">
      <alignment horizontal="left"/>
    </xf>
    <xf numFmtId="0" fontId="44" fillId="0" borderId="0" xfId="1" applyNumberFormat="1" applyFont="1" applyBorder="1"/>
    <xf numFmtId="0" fontId="44" fillId="0" borderId="0" xfId="1" applyNumberFormat="1" applyFont="1" applyBorder="1" applyAlignment="1">
      <alignment horizontal="left"/>
    </xf>
    <xf numFmtId="3" fontId="44" fillId="0" borderId="0" xfId="1" applyNumberFormat="1" applyFont="1" applyBorder="1" applyAlignment="1">
      <alignment horizontal="center"/>
    </xf>
    <xf numFmtId="0" fontId="44" fillId="0" borderId="0" xfId="5" applyNumberFormat="1" applyFont="1" applyBorder="1"/>
    <xf numFmtId="0" fontId="44" fillId="0" borderId="0" xfId="6" applyNumberFormat="1" applyFont="1" applyAlignment="1">
      <alignment horizontal="left"/>
    </xf>
    <xf numFmtId="0" fontId="44" fillId="0" borderId="0" xfId="6" applyNumberFormat="1" applyFont="1"/>
    <xf numFmtId="49" fontId="44" fillId="0" borderId="0" xfId="6" applyNumberFormat="1" applyFont="1"/>
    <xf numFmtId="172" fontId="44" fillId="0" borderId="0" xfId="1" applyNumberFormat="1" applyFont="1" applyBorder="1" applyAlignment="1">
      <alignment horizontal="center"/>
    </xf>
    <xf numFmtId="170" fontId="45" fillId="0" borderId="0" xfId="1" applyNumberFormat="1" applyFont="1" applyBorder="1" applyAlignment="1">
      <alignment horizontal="center"/>
    </xf>
    <xf numFmtId="0" fontId="46" fillId="0" borderId="0" xfId="6" applyNumberFormat="1" applyFont="1"/>
    <xf numFmtId="0" fontId="0" fillId="0" borderId="0" xfId="0" applyFont="1" applyBorder="1" applyAlignment="1" applyProtection="1">
      <alignment horizontal="left"/>
      <protection hidden="1"/>
    </xf>
    <xf numFmtId="0" fontId="0" fillId="0" borderId="0" xfId="0" applyFont="1" applyProtection="1">
      <protection hidden="1"/>
    </xf>
    <xf numFmtId="0" fontId="47" fillId="0" borderId="0" xfId="0" applyFont="1" applyAlignment="1" applyProtection="1">
      <alignment horizontal="left"/>
      <protection hidden="1"/>
    </xf>
    <xf numFmtId="0" fontId="48" fillId="0" borderId="0" xfId="0" applyFont="1" applyAlignment="1" applyProtection="1">
      <alignment horizontal="left"/>
      <protection hidden="1"/>
    </xf>
    <xf numFmtId="167" fontId="48" fillId="0" borderId="0" xfId="1" applyNumberFormat="1" applyFont="1" applyProtection="1">
      <protection hidden="1"/>
    </xf>
    <xf numFmtId="168" fontId="48" fillId="0" borderId="0" xfId="1" applyNumberFormat="1" applyFont="1" applyProtection="1">
      <protection hidden="1"/>
    </xf>
    <xf numFmtId="0" fontId="48" fillId="0" borderId="0" xfId="0" applyFont="1" applyProtection="1">
      <protection hidden="1"/>
    </xf>
    <xf numFmtId="164" fontId="48" fillId="0" borderId="0" xfId="1" applyFont="1" applyProtection="1">
      <protection hidden="1"/>
    </xf>
    <xf numFmtId="171" fontId="14" fillId="0" borderId="0" xfId="1" applyNumberFormat="1" applyFont="1" applyBorder="1" applyProtection="1">
      <protection hidden="1"/>
    </xf>
    <xf numFmtId="171" fontId="14" fillId="0" borderId="0" xfId="0" applyNumberFormat="1" applyFont="1" applyBorder="1" applyProtection="1">
      <protection hidden="1"/>
    </xf>
    <xf numFmtId="168" fontId="14" fillId="0" borderId="0" xfId="1" applyNumberFormat="1" applyFont="1" applyBorder="1" applyProtection="1">
      <protection hidden="1"/>
    </xf>
    <xf numFmtId="0" fontId="30" fillId="0" borderId="0" xfId="6" applyFont="1" applyFill="1" applyBorder="1" applyAlignment="1">
      <alignment horizontal="center"/>
    </xf>
    <xf numFmtId="0" fontId="30" fillId="0" borderId="32" xfId="6" applyFont="1" applyFill="1" applyBorder="1" applyAlignment="1">
      <alignment horizontal="center"/>
    </xf>
    <xf numFmtId="0" fontId="30" fillId="0" borderId="30" xfId="6" applyFont="1" applyFill="1" applyBorder="1" applyAlignment="1">
      <alignment horizontal="center"/>
    </xf>
    <xf numFmtId="0" fontId="30" fillId="0" borderId="31" xfId="6" applyFont="1" applyFill="1" applyBorder="1" applyAlignment="1">
      <alignment vertical="center"/>
    </xf>
    <xf numFmtId="0" fontId="39" fillId="0" borderId="0" xfId="6" applyFont="1" applyFill="1" applyBorder="1" applyAlignment="1">
      <alignment horizontal="center" vertical="center"/>
    </xf>
    <xf numFmtId="170" fontId="30" fillId="0" borderId="31" xfId="6" applyNumberFormat="1" applyFont="1" applyFill="1" applyBorder="1"/>
    <xf numFmtId="37" fontId="30" fillId="0" borderId="0" xfId="6" applyNumberFormat="1" applyFont="1" applyFill="1" applyBorder="1" applyAlignment="1">
      <alignment horizontal="center"/>
    </xf>
    <xf numFmtId="37" fontId="30" fillId="0" borderId="30" xfId="6" applyNumberFormat="1" applyFont="1" applyFill="1" applyBorder="1" applyAlignment="1">
      <alignment horizontal="center"/>
    </xf>
    <xf numFmtId="0" fontId="14" fillId="0" borderId="31" xfId="6" applyFont="1" applyFill="1" applyBorder="1" applyAlignment="1">
      <alignment horizontal="left" vertical="center" indent="1"/>
    </xf>
    <xf numFmtId="0" fontId="31" fillId="0" borderId="0" xfId="6" applyFont="1" applyFill="1" applyBorder="1" applyAlignment="1">
      <alignment horizontal="center" vertical="center"/>
    </xf>
    <xf numFmtId="0" fontId="30" fillId="0" borderId="30" xfId="6" applyFont="1" applyFill="1" applyBorder="1" applyAlignment="1">
      <alignment horizontal="center" vertical="center"/>
    </xf>
    <xf numFmtId="0" fontId="30" fillId="0" borderId="31" xfId="6" applyNumberFormat="1" applyFont="1" applyFill="1" applyBorder="1"/>
    <xf numFmtId="0" fontId="30" fillId="0" borderId="31" xfId="6" applyNumberFormat="1" applyFont="1" applyFill="1" applyBorder="1" applyAlignment="1">
      <alignment horizontal="left" indent="1"/>
    </xf>
    <xf numFmtId="3" fontId="30" fillId="0" borderId="0" xfId="6" applyNumberFormat="1" applyFont="1" applyFill="1" applyBorder="1" applyAlignment="1">
      <alignment horizontal="center"/>
    </xf>
    <xf numFmtId="3" fontId="31" fillId="0" borderId="0" xfId="6" applyNumberFormat="1" applyFont="1" applyFill="1" applyBorder="1" applyAlignment="1">
      <alignment horizontal="center"/>
    </xf>
    <xf numFmtId="49" fontId="30" fillId="0" borderId="31" xfId="6" applyNumberFormat="1" applyFont="1" applyFill="1" applyBorder="1" applyAlignment="1">
      <alignment horizontal="left" indent="1"/>
    </xf>
    <xf numFmtId="3" fontId="30" fillId="0" borderId="32" xfId="6" applyNumberFormat="1" applyFont="1" applyFill="1" applyBorder="1" applyAlignment="1">
      <alignment horizontal="center"/>
    </xf>
    <xf numFmtId="0" fontId="39" fillId="0" borderId="0" xfId="6" applyFont="1" applyFill="1" applyBorder="1" applyAlignment="1">
      <alignment horizontal="center"/>
    </xf>
    <xf numFmtId="0" fontId="30" fillId="0" borderId="31" xfId="6" applyFont="1" applyFill="1" applyBorder="1" applyAlignment="1">
      <alignment horizontal="left" indent="1"/>
    </xf>
    <xf numFmtId="0" fontId="52" fillId="0" borderId="0" xfId="2" applyFont="1" applyAlignment="1" applyProtection="1">
      <alignment horizontal="left" wrapText="1"/>
      <protection hidden="1"/>
    </xf>
    <xf numFmtId="0" fontId="53" fillId="0" borderId="0" xfId="0" applyFont="1"/>
    <xf numFmtId="165" fontId="14" fillId="5" borderId="7" xfId="0" applyNumberFormat="1" applyFont="1" applyFill="1" applyBorder="1" applyAlignment="1" applyProtection="1">
      <alignment horizontal="center"/>
      <protection hidden="1"/>
    </xf>
    <xf numFmtId="165" fontId="14" fillId="5" borderId="8" xfId="0" applyNumberFormat="1" applyFont="1" applyFill="1" applyBorder="1" applyAlignment="1" applyProtection="1">
      <alignment horizontal="center"/>
      <protection hidden="1"/>
    </xf>
    <xf numFmtId="0" fontId="14" fillId="4" borderId="1" xfId="0" applyFont="1" applyFill="1" applyBorder="1" applyProtection="1">
      <protection hidden="1"/>
    </xf>
    <xf numFmtId="0" fontId="40" fillId="0" borderId="36" xfId="6" applyFont="1" applyFill="1" applyBorder="1" applyAlignment="1">
      <alignment horizontal="center" vertical="center"/>
    </xf>
    <xf numFmtId="0" fontId="40" fillId="0" borderId="35" xfId="6" applyFont="1" applyFill="1" applyBorder="1" applyAlignment="1">
      <alignment horizontal="center" vertical="center"/>
    </xf>
    <xf numFmtId="0" fontId="40" fillId="0" borderId="31" xfId="6" applyFont="1" applyFill="1" applyBorder="1" applyAlignment="1">
      <alignment horizontal="center" vertical="center"/>
    </xf>
    <xf numFmtId="0" fontId="40" fillId="0" borderId="30" xfId="6" applyFont="1" applyFill="1" applyBorder="1" applyAlignment="1">
      <alignment horizontal="center" vertical="center"/>
    </xf>
    <xf numFmtId="3" fontId="41" fillId="0" borderId="36" xfId="6" applyNumberFormat="1" applyFont="1" applyFill="1" applyBorder="1" applyAlignment="1">
      <alignment horizontal="center" vertical="center"/>
    </xf>
    <xf numFmtId="3" fontId="41" fillId="0" borderId="35" xfId="6" applyNumberFormat="1" applyFont="1" applyFill="1" applyBorder="1" applyAlignment="1">
      <alignment horizontal="center" vertical="center"/>
    </xf>
    <xf numFmtId="3" fontId="41" fillId="0" borderId="33" xfId="6" applyNumberFormat="1" applyFont="1" applyFill="1" applyBorder="1" applyAlignment="1">
      <alignment horizontal="center" vertical="center"/>
    </xf>
    <xf numFmtId="3" fontId="41" fillId="0" borderId="32" xfId="6" applyNumberFormat="1" applyFont="1" applyFill="1" applyBorder="1" applyAlignment="1">
      <alignment horizontal="center" vertical="center"/>
    </xf>
    <xf numFmtId="0" fontId="51" fillId="0" borderId="36" xfId="6" applyFont="1" applyFill="1" applyBorder="1" applyAlignment="1">
      <alignment horizontal="center" vertical="center"/>
    </xf>
    <xf numFmtId="0" fontId="51" fillId="0" borderId="34" xfId="6" applyFont="1" applyFill="1" applyBorder="1" applyAlignment="1">
      <alignment horizontal="center" vertical="center"/>
    </xf>
    <xf numFmtId="0" fontId="51" fillId="0" borderId="31" xfId="6" applyFont="1" applyFill="1" applyBorder="1" applyAlignment="1">
      <alignment horizontal="center" vertical="center"/>
    </xf>
    <xf numFmtId="0" fontId="51" fillId="0" borderId="0" xfId="6" applyFont="1" applyFill="1" applyBorder="1" applyAlignment="1">
      <alignment horizontal="center" vertical="center"/>
    </xf>
    <xf numFmtId="0" fontId="30" fillId="0" borderId="36" xfId="6" applyFont="1" applyFill="1" applyBorder="1" applyAlignment="1">
      <alignment horizontal="center" vertical="center"/>
    </xf>
    <xf numFmtId="0" fontId="30" fillId="0" borderId="34" xfId="6" applyFont="1" applyFill="1" applyBorder="1" applyAlignment="1">
      <alignment horizontal="center" vertical="center"/>
    </xf>
    <xf numFmtId="0" fontId="30" fillId="0" borderId="31" xfId="6" applyFont="1" applyFill="1" applyBorder="1" applyAlignment="1">
      <alignment horizontal="center" vertical="center"/>
    </xf>
    <xf numFmtId="0" fontId="30" fillId="0" borderId="0" xfId="6" applyFont="1" applyFill="1" applyBorder="1" applyAlignment="1">
      <alignment horizontal="center" vertical="center"/>
    </xf>
    <xf numFmtId="0" fontId="30" fillId="0" borderId="29" xfId="6" applyFont="1" applyFill="1" applyBorder="1" applyAlignment="1">
      <alignment horizontal="center"/>
    </xf>
    <xf numFmtId="0" fontId="30" fillId="0" borderId="32" xfId="6" applyFont="1" applyFill="1" applyBorder="1" applyAlignment="1">
      <alignment horizontal="center"/>
    </xf>
    <xf numFmtId="0" fontId="30" fillId="0" borderId="33" xfId="6" applyFont="1" applyFill="1" applyBorder="1" applyAlignment="1">
      <alignment horizontal="center"/>
    </xf>
    <xf numFmtId="3" fontId="42" fillId="0" borderId="31" xfId="6" applyNumberFormat="1" applyFont="1" applyFill="1" applyBorder="1" applyAlignment="1">
      <alignment horizontal="center"/>
    </xf>
    <xf numFmtId="0" fontId="42" fillId="0" borderId="0" xfId="6" applyFont="1" applyFill="1" applyBorder="1" applyAlignment="1">
      <alignment horizontal="center"/>
    </xf>
    <xf numFmtId="0" fontId="14" fillId="0" borderId="0" xfId="6" applyFont="1" applyFill="1" applyBorder="1" applyAlignment="1">
      <alignment horizontal="center"/>
    </xf>
    <xf numFmtId="3" fontId="42" fillId="0" borderId="0" xfId="6" applyNumberFormat="1" applyFont="1" applyFill="1" applyBorder="1" applyAlignment="1">
      <alignment horizontal="center"/>
    </xf>
    <xf numFmtId="3" fontId="14" fillId="0" borderId="0" xfId="6" applyNumberFormat="1" applyFont="1" applyFill="1" applyBorder="1" applyAlignment="1">
      <alignment horizontal="center"/>
    </xf>
    <xf numFmtId="0" fontId="14" fillId="0" borderId="30" xfId="6" applyFont="1" applyFill="1" applyBorder="1" applyAlignment="1">
      <alignment horizontal="center"/>
    </xf>
    <xf numFmtId="0" fontId="42" fillId="0" borderId="30" xfId="6" applyFont="1" applyFill="1" applyBorder="1" applyAlignment="1">
      <alignment horizontal="center"/>
    </xf>
    <xf numFmtId="0" fontId="14" fillId="0" borderId="31" xfId="6" applyFont="1" applyFill="1" applyBorder="1" applyAlignment="1">
      <alignment horizontal="center"/>
    </xf>
    <xf numFmtId="0" fontId="30" fillId="0" borderId="35" xfId="6" applyFont="1" applyFill="1" applyBorder="1" applyAlignment="1">
      <alignment horizontal="center" vertical="center"/>
    </xf>
    <xf numFmtId="0" fontId="30" fillId="0" borderId="30" xfId="6" applyFont="1" applyFill="1" applyBorder="1" applyAlignment="1">
      <alignment horizontal="center" vertical="center"/>
    </xf>
    <xf numFmtId="0" fontId="51" fillId="0" borderId="36" xfId="6" applyFont="1" applyFill="1" applyBorder="1" applyAlignment="1">
      <alignment horizontal="center" vertical="center" wrapText="1"/>
    </xf>
    <xf numFmtId="0" fontId="51" fillId="0" borderId="34" xfId="6" applyFont="1" applyFill="1" applyBorder="1" applyAlignment="1">
      <alignment horizontal="center" vertical="center" wrapText="1"/>
    </xf>
    <xf numFmtId="0" fontId="51" fillId="0" borderId="35" xfId="6" applyFont="1" applyFill="1" applyBorder="1" applyAlignment="1">
      <alignment horizontal="center" vertical="center" wrapText="1"/>
    </xf>
    <xf numFmtId="0" fontId="51" fillId="0" borderId="33" xfId="6" applyFont="1" applyFill="1" applyBorder="1" applyAlignment="1">
      <alignment horizontal="center" vertical="center" wrapText="1"/>
    </xf>
    <xf numFmtId="0" fontId="51" fillId="0" borderId="29" xfId="6" applyFont="1" applyFill="1" applyBorder="1" applyAlignment="1">
      <alignment horizontal="center" vertical="center" wrapText="1"/>
    </xf>
    <xf numFmtId="0" fontId="51" fillId="0" borderId="32" xfId="6" applyFont="1" applyFill="1" applyBorder="1" applyAlignment="1">
      <alignment horizontal="center" vertical="center" wrapText="1"/>
    </xf>
    <xf numFmtId="0" fontId="13" fillId="0" borderId="37" xfId="6" applyFont="1" applyFill="1" applyBorder="1" applyAlignment="1">
      <alignment horizontal="center" vertical="center" wrapText="1"/>
    </xf>
    <xf numFmtId="0" fontId="30" fillId="0" borderId="38" xfId="6" applyFont="1" applyFill="1" applyBorder="1" applyAlignment="1">
      <alignment horizontal="center" vertical="center"/>
    </xf>
    <xf numFmtId="0" fontId="30" fillId="0" borderId="39" xfId="6" applyFont="1" applyFill="1" applyBorder="1" applyAlignment="1">
      <alignment horizontal="center" vertical="center"/>
    </xf>
    <xf numFmtId="0" fontId="40" fillId="0" borderId="34" xfId="6" applyFont="1" applyFill="1" applyBorder="1" applyAlignment="1">
      <alignment horizontal="center" vertical="center"/>
    </xf>
    <xf numFmtId="0" fontId="40" fillId="0" borderId="33" xfId="6" applyFont="1" applyFill="1" applyBorder="1" applyAlignment="1">
      <alignment horizontal="center" vertical="center"/>
    </xf>
    <xf numFmtId="0" fontId="40" fillId="0" borderId="29" xfId="6" applyFont="1" applyFill="1" applyBorder="1" applyAlignment="1">
      <alignment horizontal="center" vertical="center"/>
    </xf>
    <xf numFmtId="0" fontId="40" fillId="0" borderId="32" xfId="6" applyFont="1" applyFill="1" applyBorder="1" applyAlignment="1">
      <alignment horizontal="center" vertical="center"/>
    </xf>
    <xf numFmtId="0" fontId="51" fillId="0" borderId="0" xfId="6" applyFont="1" applyFill="1" applyAlignment="1">
      <alignment horizontal="center" vertical="center"/>
    </xf>
    <xf numFmtId="0" fontId="30" fillId="0" borderId="36" xfId="6" applyFont="1" applyFill="1" applyBorder="1" applyAlignment="1">
      <alignment horizontal="center"/>
    </xf>
    <xf numFmtId="0" fontId="30" fillId="0" borderId="35" xfId="6" applyFont="1" applyFill="1" applyBorder="1" applyAlignment="1">
      <alignment horizontal="center"/>
    </xf>
    <xf numFmtId="0" fontId="30" fillId="0" borderId="31" xfId="6" applyFont="1" applyFill="1" applyBorder="1" applyAlignment="1">
      <alignment horizontal="center"/>
    </xf>
    <xf numFmtId="0" fontId="30" fillId="0" borderId="30" xfId="6" applyFont="1" applyFill="1" applyBorder="1" applyAlignment="1">
      <alignment horizontal="center"/>
    </xf>
    <xf numFmtId="0" fontId="30" fillId="0" borderId="0" xfId="6" applyFont="1" applyFill="1" applyAlignment="1">
      <alignment horizontal="center" vertical="center"/>
    </xf>
    <xf numFmtId="0" fontId="30" fillId="0" borderId="33" xfId="6" applyFont="1" applyFill="1" applyBorder="1" applyAlignment="1">
      <alignment horizontal="center" vertical="center"/>
    </xf>
    <xf numFmtId="0" fontId="30" fillId="0" borderId="29" xfId="6" applyFont="1" applyFill="1" applyBorder="1" applyAlignment="1">
      <alignment horizontal="center" vertical="center"/>
    </xf>
    <xf numFmtId="0" fontId="30" fillId="0" borderId="32" xfId="6" applyFont="1" applyFill="1" applyBorder="1" applyAlignment="1">
      <alignment horizontal="center" vertical="center"/>
    </xf>
    <xf numFmtId="0" fontId="40" fillId="0" borderId="0" xfId="6" applyFont="1" applyFill="1" applyBorder="1" applyAlignment="1">
      <alignment horizontal="center" vertical="center"/>
    </xf>
    <xf numFmtId="0" fontId="30" fillId="0" borderId="37" xfId="6" applyFont="1" applyFill="1" applyBorder="1" applyAlignment="1">
      <alignment horizontal="center" vertical="center"/>
    </xf>
    <xf numFmtId="0" fontId="31" fillId="0" borderId="36" xfId="6" applyFont="1" applyFill="1" applyBorder="1" applyAlignment="1">
      <alignment horizontal="center" vertical="center"/>
    </xf>
    <xf numFmtId="0" fontId="31" fillId="0" borderId="34" xfId="6" applyFont="1" applyFill="1" applyBorder="1" applyAlignment="1">
      <alignment horizontal="center" vertical="center"/>
    </xf>
    <xf numFmtId="0" fontId="31" fillId="0" borderId="35" xfId="6" applyFont="1" applyFill="1" applyBorder="1" applyAlignment="1">
      <alignment horizontal="center" vertical="center"/>
    </xf>
    <xf numFmtId="0" fontId="31" fillId="0" borderId="31" xfId="6" applyFont="1" applyFill="1" applyBorder="1" applyAlignment="1">
      <alignment horizontal="center" vertical="center"/>
    </xf>
    <xf numFmtId="0" fontId="31" fillId="0" borderId="0" xfId="6" applyFont="1" applyFill="1" applyBorder="1" applyAlignment="1">
      <alignment horizontal="center" vertical="center"/>
    </xf>
    <xf numFmtId="0" fontId="31" fillId="0" borderId="30" xfId="6" applyFont="1" applyFill="1" applyBorder="1" applyAlignment="1">
      <alignment horizontal="center" vertical="center"/>
    </xf>
    <xf numFmtId="0" fontId="31" fillId="0" borderId="33" xfId="6" applyFont="1" applyFill="1" applyBorder="1" applyAlignment="1">
      <alignment horizontal="center" vertical="center"/>
    </xf>
    <xf numFmtId="0" fontId="31" fillId="0" borderId="29" xfId="6" applyFont="1" applyFill="1" applyBorder="1" applyAlignment="1">
      <alignment horizontal="center" vertical="center"/>
    </xf>
    <xf numFmtId="0" fontId="31" fillId="0" borderId="32" xfId="6" applyFont="1" applyFill="1" applyBorder="1" applyAlignment="1">
      <alignment horizontal="center" vertical="center"/>
    </xf>
    <xf numFmtId="0" fontId="51" fillId="0" borderId="35" xfId="6" applyFont="1" applyFill="1" applyBorder="1" applyAlignment="1">
      <alignment horizontal="center" vertical="center"/>
    </xf>
    <xf numFmtId="0" fontId="51" fillId="0" borderId="30" xfId="6" applyFont="1" applyFill="1" applyBorder="1" applyAlignment="1">
      <alignment horizontal="center" vertical="center"/>
    </xf>
    <xf numFmtId="0" fontId="30" fillId="0" borderId="7" xfId="6" applyFont="1" applyFill="1" applyBorder="1" applyAlignment="1">
      <alignment horizontal="center" vertical="center"/>
    </xf>
    <xf numFmtId="0" fontId="30" fillId="0" borderId="40" xfId="6" applyFont="1" applyFill="1" applyBorder="1" applyAlignment="1">
      <alignment horizontal="center" vertical="center"/>
    </xf>
    <xf numFmtId="0" fontId="30" fillId="0" borderId="8" xfId="6" applyFont="1" applyFill="1" applyBorder="1" applyAlignment="1">
      <alignment horizontal="center" vertical="center"/>
    </xf>
  </cellXfs>
  <cellStyles count="7">
    <cellStyle name="Comma" xfId="1" builtinId="3"/>
    <cellStyle name="Hyperlink" xfId="2" builtinId="8"/>
    <cellStyle name="Input" xfId="3" builtinId="20" customBuiltin="1"/>
    <cellStyle name="Normal" xfId="0" builtinId="0" customBuiltin="1"/>
    <cellStyle name="Normal 2" xfId="6" xr:uid="{15282CD2-DC0E-4379-982D-345541C6BDA7}"/>
    <cellStyle name="Output" xfId="4" builtinId="21" customBuiltin="1"/>
    <cellStyle name="Percent" xfId="5" builtinId="5"/>
  </cellStyles>
  <dxfs count="19">
    <dxf>
      <font>
        <b/>
        <i val="0"/>
        <color theme="0"/>
      </font>
      <fill>
        <patternFill>
          <bgColor rgb="FFFF0000"/>
        </patternFill>
      </fill>
    </dxf>
    <dxf>
      <font>
        <b/>
        <i val="0"/>
        <color theme="0"/>
      </font>
      <fill>
        <patternFill>
          <bgColor rgb="FFFF0000"/>
        </patternFill>
      </fill>
    </dxf>
    <dxf>
      <font>
        <b/>
        <i val="0"/>
        <color theme="0"/>
      </font>
      <fill>
        <patternFill>
          <bgColor rgb="FFFF6600"/>
        </patternFill>
      </fill>
    </dxf>
    <dxf>
      <font>
        <color theme="4" tint="-0.24994659260841701"/>
      </font>
    </dxf>
    <dxf>
      <font>
        <color theme="9" tint="-0.24994659260841701"/>
      </font>
    </dxf>
    <dxf>
      <font>
        <color theme="4" tint="-0.24994659260841701"/>
      </font>
    </dxf>
    <dxf>
      <font>
        <color theme="9" tint="-0.24994659260841701"/>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lor theme="0"/>
      </font>
      <fill>
        <patternFill>
          <bgColor rgb="FFFF0000"/>
        </patternFill>
      </fill>
    </dxf>
    <dxf>
      <font>
        <b/>
        <i val="0"/>
        <color theme="0"/>
      </font>
      <fill>
        <patternFill>
          <bgColor rgb="FFFF0000"/>
        </patternFill>
      </fill>
    </dxf>
  </dxfs>
  <tableStyles count="0" defaultTableStyle="TableStyleMedium9" defaultPivotStyle="PivotStyleLight16"/>
  <colors>
    <mruColors>
      <color rgb="FF2EC4B6"/>
      <color rgb="FFFE4A49"/>
      <color rgb="FF239589"/>
      <color rgb="FFFF5050"/>
      <color rgb="FFFF99CC"/>
      <color rgb="FFFF33CC"/>
      <color rgb="FFFF6699"/>
      <color rgb="FFFF3399"/>
      <color rgb="FFFF0066"/>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strRef>
          <c:f>DB!$A$61</c:f>
          <c:strCache>
            <c:ptCount val="1"/>
            <c:pt idx="0">
              <c:v>Turnover</c:v>
            </c:pt>
          </c:strCache>
        </c:strRef>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endParaRPr lang="ru-RU"/>
        </a:p>
      </c:txPr>
    </c:title>
    <c:autoTitleDeleted val="0"/>
    <c:plotArea>
      <c:layout>
        <c:manualLayout>
          <c:layoutTarget val="inner"/>
          <c:xMode val="edge"/>
          <c:yMode val="edge"/>
          <c:x val="2.9177109440267336E-2"/>
          <c:y val="0.15828888888888887"/>
          <c:w val="0.81256808688387638"/>
          <c:h val="0.71662905982905978"/>
        </c:manualLayout>
      </c:layout>
      <c:barChart>
        <c:barDir val="col"/>
        <c:grouping val="clustered"/>
        <c:varyColors val="0"/>
        <c:ser>
          <c:idx val="0"/>
          <c:order val="0"/>
          <c:tx>
            <c:strRef>
              <c:f>DB!$A$61</c:f>
              <c:strCache>
                <c:ptCount val="1"/>
                <c:pt idx="0">
                  <c:v>Turnover</c:v>
                </c:pt>
              </c:strCache>
            </c:strRef>
          </c:tx>
          <c:spPr>
            <a:gradFill rotWithShape="1">
              <a:gsLst>
                <a:gs pos="0">
                  <a:schemeClr val="accent3">
                    <a:tint val="62000"/>
                    <a:hueMod val="94000"/>
                    <a:satMod val="140000"/>
                    <a:lumMod val="110000"/>
                  </a:schemeClr>
                </a:gs>
                <a:gs pos="100000">
                  <a:schemeClr val="accent3">
                    <a:tint val="84000"/>
                    <a:satMod val="160000"/>
                  </a:schemeClr>
                </a:gs>
              </a:gsLst>
              <a:lin ang="5400000" scaled="0"/>
            </a:gradFill>
            <a:ln w="9525" cap="flat" cmpd="sng" algn="ctr">
              <a:solidFill>
                <a:schemeClr val="accent3">
                  <a:shade val="95000"/>
                </a:schemeClr>
              </a:solidFill>
              <a:round/>
            </a:ln>
            <a:effectLst/>
          </c:spPr>
          <c:invertIfNegative val="0"/>
          <c:cat>
            <c:numRef>
              <c:f>DB!$C$59:$E$59</c:f>
              <c:numCache>
                <c:formatCode>0</c:formatCode>
                <c:ptCount val="3"/>
                <c:pt idx="0">
                  <c:v>2022</c:v>
                </c:pt>
                <c:pt idx="1">
                  <c:v>2021</c:v>
                </c:pt>
                <c:pt idx="2">
                  <c:v>2020</c:v>
                </c:pt>
              </c:numCache>
            </c:numRef>
          </c:cat>
          <c:val>
            <c:numRef>
              <c:f>DB!$C$61:$E$61</c:f>
              <c:numCache>
                <c:formatCode>_ * #,##0_ ;_ * \-#,##0_ ;_ * "-"??_ ;_ @_ </c:formatCode>
                <c:ptCount val="3"/>
                <c:pt idx="0">
                  <c:v>6911623</c:v>
                </c:pt>
                <c:pt idx="1">
                  <c:v>6242037</c:v>
                </c:pt>
                <c:pt idx="2">
                  <c:v>5201696</c:v>
                </c:pt>
              </c:numCache>
            </c:numRef>
          </c:val>
          <c:extLst>
            <c:ext xmlns:c16="http://schemas.microsoft.com/office/drawing/2014/chart" uri="{C3380CC4-5D6E-409C-BE32-E72D297353CC}">
              <c16:uniqueId val="{00000000-A605-4F35-AAEE-E9AC702FEABD}"/>
            </c:ext>
          </c:extLst>
        </c:ser>
        <c:dLbls>
          <c:showLegendKey val="0"/>
          <c:showVal val="0"/>
          <c:showCatName val="0"/>
          <c:showSerName val="0"/>
          <c:showPercent val="0"/>
          <c:showBubbleSize val="0"/>
        </c:dLbls>
        <c:gapWidth val="100"/>
        <c:overlap val="-24"/>
        <c:axId val="399210136"/>
        <c:axId val="399207840"/>
      </c:barChart>
      <c:catAx>
        <c:axId val="399210136"/>
        <c:scaling>
          <c:orientation val="maxMin"/>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ru-RU"/>
          </a:p>
        </c:txPr>
        <c:crossAx val="399207840"/>
        <c:crosses val="autoZero"/>
        <c:auto val="1"/>
        <c:lblAlgn val="ctr"/>
        <c:lblOffset val="100"/>
        <c:noMultiLvlLbl val="0"/>
      </c:catAx>
      <c:valAx>
        <c:axId val="399207840"/>
        <c:scaling>
          <c:orientation val="minMax"/>
        </c:scaling>
        <c:delete val="0"/>
        <c:axPos val="r"/>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ru-RU"/>
          </a:p>
        </c:txPr>
        <c:crossAx val="399210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DB!$A$65</c:f>
          <c:strCache>
            <c:ptCount val="1"/>
            <c:pt idx="0">
              <c:v>2022 Gross Profit %</c:v>
            </c:pt>
          </c:strCache>
        </c:strRef>
      </c:tx>
      <c:overlay val="0"/>
      <c:spPr>
        <a:noFill/>
        <a:ln>
          <a:noFill/>
        </a:ln>
        <a:effectLst/>
      </c:spPr>
      <c:txPr>
        <a:bodyPr rot="0" spcFirstLastPara="1" vertOverflow="ellipsis" vert="horz" wrap="square" anchor="b" anchorCtr="1"/>
        <a:lstStyle/>
        <a:p>
          <a:pPr>
            <a:defRPr sz="1400" b="0" i="0" u="none" strike="noStrike" kern="1200" spc="0" baseline="0">
              <a:solidFill>
                <a:schemeClr val="tx1"/>
              </a:solidFill>
              <a:latin typeface="+mn-lt"/>
              <a:ea typeface="+mn-ea"/>
              <a:cs typeface="+mn-cs"/>
            </a:defRPr>
          </a:pPr>
          <a:endParaRPr lang="ru-RU"/>
        </a:p>
      </c:txPr>
    </c:title>
    <c:autoTitleDeleted val="0"/>
    <c:plotArea>
      <c:layout>
        <c:manualLayout>
          <c:layoutTarget val="inner"/>
          <c:xMode val="edge"/>
          <c:yMode val="edge"/>
          <c:x val="0.18389770723104054"/>
          <c:y val="0.20737830687830688"/>
          <c:w val="0.65123412698412708"/>
          <c:h val="0.65123412698412708"/>
        </c:manualLayout>
      </c:layout>
      <c:doughnutChart>
        <c:varyColors val="1"/>
        <c:ser>
          <c:idx val="1"/>
          <c:order val="0"/>
          <c:tx>
            <c:v>Top</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0C-4014-AC53-C8BF695EFBA7}"/>
              </c:ext>
            </c:extLst>
          </c:dPt>
          <c:dPt>
            <c:idx val="1"/>
            <c:bubble3D val="0"/>
            <c:spPr>
              <a:solidFill>
                <a:schemeClr val="bg1">
                  <a:lumMod val="95000"/>
                </a:schemeClr>
              </a:solidFill>
              <a:ln w="0">
                <a:noFill/>
              </a:ln>
              <a:effectLst/>
            </c:spPr>
            <c:extLst>
              <c:ext xmlns:c16="http://schemas.microsoft.com/office/drawing/2014/chart" uri="{C3380CC4-5D6E-409C-BE32-E72D297353CC}">
                <c16:uniqueId val="{00000003-5F0C-4014-AC53-C8BF695EFBA7}"/>
              </c:ext>
            </c:extLst>
          </c:dPt>
          <c:dPt>
            <c:idx val="2"/>
            <c:bubble3D val="0"/>
            <c:spPr>
              <a:noFill/>
              <a:ln w="19050">
                <a:solidFill>
                  <a:schemeClr val="lt1"/>
                </a:solidFill>
              </a:ln>
              <a:effectLst/>
            </c:spPr>
            <c:extLst>
              <c:ext xmlns:c16="http://schemas.microsoft.com/office/drawing/2014/chart" uri="{C3380CC4-5D6E-409C-BE32-E72D297353CC}">
                <c16:uniqueId val="{00000005-5F0C-4014-AC53-C8BF695EFBA7}"/>
              </c:ext>
            </c:extLst>
          </c:dPt>
          <c:val>
            <c:numRef>
              <c:f>DB!$D$65:$F$65</c:f>
              <c:numCache>
                <c:formatCode>#,##0</c:formatCode>
                <c:ptCount val="3"/>
                <c:pt idx="0">
                  <c:v>75.800754757601794</c:v>
                </c:pt>
                <c:pt idx="1">
                  <c:v>54.199245242398206</c:v>
                </c:pt>
                <c:pt idx="2">
                  <c:v>30</c:v>
                </c:pt>
              </c:numCache>
            </c:numRef>
          </c:val>
          <c:extLst>
            <c:ext xmlns:c16="http://schemas.microsoft.com/office/drawing/2014/chart" uri="{C3380CC4-5D6E-409C-BE32-E72D297353CC}">
              <c16:uniqueId val="{00000006-5F0C-4014-AC53-C8BF695EFBA7}"/>
            </c:ext>
          </c:extLst>
        </c:ser>
        <c:dLbls>
          <c:showLegendKey val="0"/>
          <c:showVal val="0"/>
          <c:showCatName val="0"/>
          <c:showSerName val="0"/>
          <c:showPercent val="0"/>
          <c:showBubbleSize val="0"/>
          <c:showLeaderLines val="1"/>
        </c:dLbls>
        <c:firstSliceAng val="213"/>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DB!$A$67</c:f>
          <c:strCache>
            <c:ptCount val="1"/>
            <c:pt idx="0">
              <c:v>2022 Net Profit %</c:v>
            </c:pt>
          </c:strCache>
        </c:strRef>
      </c:tx>
      <c:overlay val="0"/>
      <c:spPr>
        <a:noFill/>
        <a:ln>
          <a:noFill/>
        </a:ln>
        <a:effectLst/>
      </c:spPr>
      <c:txPr>
        <a:bodyPr rot="0" spcFirstLastPara="1" vertOverflow="ellipsis" vert="horz" wrap="square" anchor="b" anchorCtr="1"/>
        <a:lstStyle/>
        <a:p>
          <a:pPr>
            <a:defRPr sz="1400" b="0" i="0" u="none" strike="noStrike" kern="1200" spc="0" baseline="0">
              <a:solidFill>
                <a:schemeClr val="tx1"/>
              </a:solidFill>
              <a:latin typeface="+mn-lt"/>
              <a:ea typeface="+mn-ea"/>
              <a:cs typeface="+mn-cs"/>
            </a:defRPr>
          </a:pPr>
          <a:endParaRPr lang="ru-RU"/>
        </a:p>
      </c:txPr>
    </c:title>
    <c:autoTitleDeleted val="0"/>
    <c:plotArea>
      <c:layout>
        <c:manualLayout>
          <c:layoutTarget val="inner"/>
          <c:xMode val="edge"/>
          <c:yMode val="edge"/>
          <c:x val="0.18389770723104054"/>
          <c:y val="0.20737830687830688"/>
          <c:w val="0.65123412698412708"/>
          <c:h val="0.65123412698412708"/>
        </c:manualLayout>
      </c:layout>
      <c:doughnutChart>
        <c:varyColors val="1"/>
        <c:ser>
          <c:idx val="1"/>
          <c:order val="0"/>
          <c:tx>
            <c:v>Top</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39-4FFD-80E3-76E395514F3A}"/>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8739-4FFD-80E3-76E395514F3A}"/>
              </c:ext>
            </c:extLst>
          </c:dPt>
          <c:dPt>
            <c:idx val="2"/>
            <c:bubble3D val="0"/>
            <c:spPr>
              <a:noFill/>
              <a:ln w="19050">
                <a:solidFill>
                  <a:schemeClr val="lt1"/>
                </a:solidFill>
              </a:ln>
              <a:effectLst/>
            </c:spPr>
            <c:extLst>
              <c:ext xmlns:c16="http://schemas.microsoft.com/office/drawing/2014/chart" uri="{C3380CC4-5D6E-409C-BE32-E72D297353CC}">
                <c16:uniqueId val="{00000005-8739-4FFD-80E3-76E395514F3A}"/>
              </c:ext>
            </c:extLst>
          </c:dPt>
          <c:val>
            <c:numRef>
              <c:f>DB!$D$67:$F$67</c:f>
              <c:numCache>
                <c:formatCode>#,##0</c:formatCode>
                <c:ptCount val="3"/>
                <c:pt idx="0">
                  <c:v>19.4496965473956</c:v>
                </c:pt>
                <c:pt idx="1">
                  <c:v>110.5503034526044</c:v>
                </c:pt>
                <c:pt idx="2">
                  <c:v>30</c:v>
                </c:pt>
              </c:numCache>
            </c:numRef>
          </c:val>
          <c:extLst>
            <c:ext xmlns:c16="http://schemas.microsoft.com/office/drawing/2014/chart" uri="{C3380CC4-5D6E-409C-BE32-E72D297353CC}">
              <c16:uniqueId val="{00000006-8739-4FFD-80E3-76E395514F3A}"/>
            </c:ext>
          </c:extLst>
        </c:ser>
        <c:dLbls>
          <c:showLegendKey val="0"/>
          <c:showVal val="0"/>
          <c:showCatName val="0"/>
          <c:showSerName val="0"/>
          <c:showPercent val="0"/>
          <c:showBubbleSize val="0"/>
          <c:showLeaderLines val="1"/>
        </c:dLbls>
        <c:firstSliceAng val="213"/>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strRef>
          <c:f>DB!$A$63</c:f>
          <c:strCache>
            <c:ptCount val="1"/>
            <c:pt idx="0">
              <c:v>Profit / (Loss) for the period</c:v>
            </c:pt>
          </c:strCache>
        </c:strRef>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endParaRPr lang="ru-RU"/>
        </a:p>
      </c:txPr>
    </c:title>
    <c:autoTitleDeleted val="0"/>
    <c:plotArea>
      <c:layout>
        <c:manualLayout>
          <c:layoutTarget val="inner"/>
          <c:xMode val="edge"/>
          <c:yMode val="edge"/>
          <c:x val="2.9177109440267336E-2"/>
          <c:y val="0.16914358974358976"/>
          <c:w val="0.81256808688387638"/>
          <c:h val="0.70577435897435903"/>
        </c:manualLayout>
      </c:layout>
      <c:barChart>
        <c:barDir val="col"/>
        <c:grouping val="clustered"/>
        <c:varyColors val="0"/>
        <c:ser>
          <c:idx val="0"/>
          <c:order val="0"/>
          <c:tx>
            <c:strRef>
              <c:f>DB!$A$63</c:f>
              <c:strCache>
                <c:ptCount val="1"/>
                <c:pt idx="0">
                  <c:v>Profit / (Loss) for the period</c:v>
                </c:pt>
              </c:strCache>
            </c:strRef>
          </c:tx>
          <c:spPr>
            <a:gradFill rotWithShape="1">
              <a:gsLst>
                <a:gs pos="0">
                  <a:schemeClr val="accent1">
                    <a:tint val="62000"/>
                    <a:hueMod val="94000"/>
                    <a:satMod val="140000"/>
                    <a:lumMod val="110000"/>
                  </a:schemeClr>
                </a:gs>
                <a:gs pos="100000">
                  <a:schemeClr val="accent1">
                    <a:tint val="84000"/>
                    <a:satMod val="160000"/>
                  </a:schemeClr>
                </a:gs>
              </a:gsLst>
              <a:lin ang="5400000" scaled="0"/>
            </a:gradFill>
            <a:ln w="9525" cap="flat" cmpd="sng" algn="ctr">
              <a:solidFill>
                <a:schemeClr val="accent1">
                  <a:shade val="95000"/>
                </a:schemeClr>
              </a:solidFill>
              <a:round/>
            </a:ln>
            <a:effectLst/>
          </c:spPr>
          <c:invertIfNegative val="0"/>
          <c:cat>
            <c:numRef>
              <c:f>DB!$C$59:$E$59</c:f>
              <c:numCache>
                <c:formatCode>0</c:formatCode>
                <c:ptCount val="3"/>
                <c:pt idx="0">
                  <c:v>2022</c:v>
                </c:pt>
                <c:pt idx="1">
                  <c:v>2021</c:v>
                </c:pt>
                <c:pt idx="2">
                  <c:v>2020</c:v>
                </c:pt>
              </c:numCache>
            </c:numRef>
          </c:cat>
          <c:val>
            <c:numRef>
              <c:f>DB!$C$63:$E$63</c:f>
              <c:numCache>
                <c:formatCode>_ * #,##0_ ;_ * \-#,##0_ ;_ * "-"??_ ;_ @_ </c:formatCode>
                <c:ptCount val="3"/>
                <c:pt idx="0">
                  <c:v>1034069</c:v>
                </c:pt>
                <c:pt idx="1">
                  <c:v>1104667</c:v>
                </c:pt>
                <c:pt idx="2">
                  <c:v>608918</c:v>
                </c:pt>
              </c:numCache>
            </c:numRef>
          </c:val>
          <c:extLst>
            <c:ext xmlns:c16="http://schemas.microsoft.com/office/drawing/2014/chart" uri="{C3380CC4-5D6E-409C-BE32-E72D297353CC}">
              <c16:uniqueId val="{00000000-ED52-4796-B065-14E93303CDC2}"/>
            </c:ext>
          </c:extLst>
        </c:ser>
        <c:dLbls>
          <c:showLegendKey val="0"/>
          <c:showVal val="0"/>
          <c:showCatName val="0"/>
          <c:showSerName val="0"/>
          <c:showPercent val="0"/>
          <c:showBubbleSize val="0"/>
        </c:dLbls>
        <c:gapWidth val="100"/>
        <c:overlap val="-24"/>
        <c:axId val="399210136"/>
        <c:axId val="399207840"/>
      </c:barChart>
      <c:catAx>
        <c:axId val="399210136"/>
        <c:scaling>
          <c:orientation val="maxMin"/>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ru-RU"/>
          </a:p>
        </c:txPr>
        <c:crossAx val="399207840"/>
        <c:crosses val="autoZero"/>
        <c:auto val="1"/>
        <c:lblAlgn val="ctr"/>
        <c:lblOffset val="100"/>
        <c:noMultiLvlLbl val="0"/>
      </c:catAx>
      <c:valAx>
        <c:axId val="399207840"/>
        <c:scaling>
          <c:orientation val="minMax"/>
        </c:scaling>
        <c:delete val="0"/>
        <c:axPos val="r"/>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ru-RU"/>
          </a:p>
        </c:txPr>
        <c:crossAx val="399210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DB!$A$69</c:f>
          <c:strCache>
            <c:ptCount val="1"/>
            <c:pt idx="0">
              <c:v>2022 Interest Cover</c:v>
            </c:pt>
          </c:strCache>
        </c:strRef>
      </c:tx>
      <c:overlay val="0"/>
      <c:spPr>
        <a:noFill/>
        <a:ln>
          <a:noFill/>
        </a:ln>
        <a:effectLst/>
      </c:spPr>
      <c:txPr>
        <a:bodyPr rot="0" spcFirstLastPara="1" vertOverflow="ellipsis" vert="horz" wrap="square" anchor="b" anchorCtr="1"/>
        <a:lstStyle/>
        <a:p>
          <a:pPr>
            <a:defRPr sz="1400" b="0" i="0" u="none" strike="noStrike" kern="1200" spc="0" baseline="0">
              <a:solidFill>
                <a:schemeClr val="tx1"/>
              </a:solidFill>
              <a:latin typeface="+mn-lt"/>
              <a:ea typeface="+mn-ea"/>
              <a:cs typeface="+mn-cs"/>
            </a:defRPr>
          </a:pPr>
          <a:endParaRPr lang="ru-RU"/>
        </a:p>
      </c:txPr>
    </c:title>
    <c:autoTitleDeleted val="0"/>
    <c:plotArea>
      <c:layout>
        <c:manualLayout>
          <c:layoutTarget val="inner"/>
          <c:xMode val="edge"/>
          <c:yMode val="edge"/>
          <c:x val="0.18389770723104054"/>
          <c:y val="0.20737830687830688"/>
          <c:w val="0.65123412698412708"/>
          <c:h val="0.65123412698412708"/>
        </c:manualLayout>
      </c:layout>
      <c:doughnutChart>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93-42BC-9955-7DF5A1BE2461}"/>
              </c:ext>
            </c:extLst>
          </c:dPt>
          <c:dPt>
            <c:idx val="1"/>
            <c:bubble3D val="0"/>
            <c:spPr>
              <a:solidFill>
                <a:schemeClr val="bg1">
                  <a:lumMod val="95000"/>
                </a:schemeClr>
              </a:solidFill>
              <a:ln w="0">
                <a:noFill/>
              </a:ln>
              <a:effectLst/>
            </c:spPr>
            <c:extLst>
              <c:ext xmlns:c16="http://schemas.microsoft.com/office/drawing/2014/chart" uri="{C3380CC4-5D6E-409C-BE32-E72D297353CC}">
                <c16:uniqueId val="{00000003-B193-42BC-9955-7DF5A1BE2461}"/>
              </c:ext>
            </c:extLst>
          </c:dPt>
          <c:dPt>
            <c:idx val="2"/>
            <c:bubble3D val="0"/>
            <c:spPr>
              <a:noFill/>
              <a:ln w="19050">
                <a:solidFill>
                  <a:schemeClr val="lt1"/>
                </a:solidFill>
              </a:ln>
              <a:effectLst/>
            </c:spPr>
            <c:extLst>
              <c:ext xmlns:c16="http://schemas.microsoft.com/office/drawing/2014/chart" uri="{C3380CC4-5D6E-409C-BE32-E72D297353CC}">
                <c16:uniqueId val="{00000005-B193-42BC-9955-7DF5A1BE2461}"/>
              </c:ext>
            </c:extLst>
          </c:dPt>
          <c:val>
            <c:numRef>
              <c:f>DB!$D$69:$F$69</c:f>
              <c:numCache>
                <c:formatCode>#,##0</c:formatCode>
                <c:ptCount val="3"/>
                <c:pt idx="0">
                  <c:v>116.4599149805148</c:v>
                </c:pt>
                <c:pt idx="1">
                  <c:v>13.540085019485204</c:v>
                </c:pt>
                <c:pt idx="2">
                  <c:v>30</c:v>
                </c:pt>
              </c:numCache>
            </c:numRef>
          </c:val>
          <c:extLst>
            <c:ext xmlns:c16="http://schemas.microsoft.com/office/drawing/2014/chart" uri="{C3380CC4-5D6E-409C-BE32-E72D297353CC}">
              <c16:uniqueId val="{00000006-B193-42BC-9955-7DF5A1BE2461}"/>
            </c:ext>
          </c:extLst>
        </c:ser>
        <c:dLbls>
          <c:showLegendKey val="0"/>
          <c:showVal val="0"/>
          <c:showCatName val="0"/>
          <c:showSerName val="0"/>
          <c:showPercent val="0"/>
          <c:showBubbleSize val="0"/>
          <c:showLeaderLines val="1"/>
        </c:dLbls>
        <c:firstSliceAng val="213"/>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DB!$A$71</c:f>
          <c:strCache>
            <c:ptCount val="1"/>
            <c:pt idx="0">
              <c:v>2022 ROE %</c:v>
            </c:pt>
          </c:strCache>
        </c:strRef>
      </c:tx>
      <c:overlay val="0"/>
      <c:spPr>
        <a:noFill/>
        <a:ln>
          <a:noFill/>
        </a:ln>
        <a:effectLst/>
      </c:spPr>
      <c:txPr>
        <a:bodyPr rot="0" spcFirstLastPara="1" vertOverflow="ellipsis" vert="horz" wrap="square" anchor="b" anchorCtr="1"/>
        <a:lstStyle/>
        <a:p>
          <a:pPr>
            <a:defRPr sz="1400" b="0" i="0" u="none" strike="noStrike" kern="1200" spc="0" baseline="0">
              <a:solidFill>
                <a:schemeClr val="tx1"/>
              </a:solidFill>
              <a:latin typeface="+mn-lt"/>
              <a:ea typeface="+mn-ea"/>
              <a:cs typeface="+mn-cs"/>
            </a:defRPr>
          </a:pPr>
          <a:endParaRPr lang="ru-RU"/>
        </a:p>
      </c:txPr>
    </c:title>
    <c:autoTitleDeleted val="0"/>
    <c:plotArea>
      <c:layout>
        <c:manualLayout>
          <c:layoutTarget val="inner"/>
          <c:xMode val="edge"/>
          <c:yMode val="edge"/>
          <c:x val="0.18389770723104054"/>
          <c:y val="0.20737830687830688"/>
          <c:w val="0.65123412698412708"/>
          <c:h val="0.65123412698412708"/>
        </c:manualLayout>
      </c:layout>
      <c:doughnutChart>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A2-45E2-B86C-BEB68AF9328B}"/>
              </c:ext>
            </c:extLst>
          </c:dPt>
          <c:dPt>
            <c:idx val="1"/>
            <c:bubble3D val="0"/>
            <c:spPr>
              <a:solidFill>
                <a:schemeClr val="bg1">
                  <a:lumMod val="95000"/>
                </a:schemeClr>
              </a:solidFill>
              <a:ln w="0">
                <a:noFill/>
              </a:ln>
              <a:effectLst/>
            </c:spPr>
            <c:extLst>
              <c:ext xmlns:c16="http://schemas.microsoft.com/office/drawing/2014/chart" uri="{C3380CC4-5D6E-409C-BE32-E72D297353CC}">
                <c16:uniqueId val="{00000003-66A2-45E2-B86C-BEB68AF9328B}"/>
              </c:ext>
            </c:extLst>
          </c:dPt>
          <c:dPt>
            <c:idx val="2"/>
            <c:bubble3D val="0"/>
            <c:spPr>
              <a:noFill/>
              <a:ln w="19050">
                <a:solidFill>
                  <a:schemeClr val="lt1"/>
                </a:solidFill>
              </a:ln>
              <a:effectLst/>
            </c:spPr>
            <c:extLst>
              <c:ext xmlns:c16="http://schemas.microsoft.com/office/drawing/2014/chart" uri="{C3380CC4-5D6E-409C-BE32-E72D297353CC}">
                <c16:uniqueId val="{00000005-66A2-45E2-B86C-BEB68AF9328B}"/>
              </c:ext>
            </c:extLst>
          </c:dPt>
          <c:val>
            <c:numRef>
              <c:f>DB!$D$71:$F$71</c:f>
              <c:numCache>
                <c:formatCode>#,##0</c:formatCode>
                <c:ptCount val="3"/>
                <c:pt idx="0">
                  <c:v>25.728652978043105</c:v>
                </c:pt>
                <c:pt idx="1">
                  <c:v>104.2713470219569</c:v>
                </c:pt>
                <c:pt idx="2">
                  <c:v>30</c:v>
                </c:pt>
              </c:numCache>
            </c:numRef>
          </c:val>
          <c:extLst>
            <c:ext xmlns:c16="http://schemas.microsoft.com/office/drawing/2014/chart" uri="{C3380CC4-5D6E-409C-BE32-E72D297353CC}">
              <c16:uniqueId val="{00000006-66A2-45E2-B86C-BEB68AF9328B}"/>
            </c:ext>
          </c:extLst>
        </c:ser>
        <c:dLbls>
          <c:showLegendKey val="0"/>
          <c:showVal val="0"/>
          <c:showCatName val="0"/>
          <c:showSerName val="0"/>
          <c:showPercent val="0"/>
          <c:showBubbleSize val="0"/>
          <c:showLeaderLines val="1"/>
        </c:dLbls>
        <c:firstSliceAng val="213"/>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2.9177109440267336E-2"/>
          <c:y val="6.0596581196581206E-2"/>
          <c:w val="0.81256808688387638"/>
          <c:h val="0.81432136752136752"/>
        </c:manualLayout>
      </c:layout>
      <c:barChart>
        <c:barDir val="col"/>
        <c:grouping val="clustered"/>
        <c:varyColors val="0"/>
        <c:ser>
          <c:idx val="0"/>
          <c:order val="0"/>
          <c:tx>
            <c:strRef>
              <c:f>DB!$A$88</c:f>
              <c:strCache>
                <c:ptCount val="1"/>
                <c:pt idx="0">
                  <c:v>Operating expenses</c:v>
                </c:pt>
              </c:strCache>
            </c:strRef>
          </c:tx>
          <c:spPr>
            <a:gradFill rotWithShape="1">
              <a:gsLst>
                <a:gs pos="0">
                  <a:schemeClr val="accent3">
                    <a:tint val="62000"/>
                    <a:hueMod val="94000"/>
                    <a:satMod val="140000"/>
                    <a:lumMod val="110000"/>
                  </a:schemeClr>
                </a:gs>
                <a:gs pos="100000">
                  <a:schemeClr val="accent3">
                    <a:tint val="84000"/>
                    <a:satMod val="160000"/>
                  </a:schemeClr>
                </a:gs>
              </a:gsLst>
              <a:lin ang="5400000" scaled="0"/>
            </a:gradFill>
            <a:ln w="9525" cap="flat" cmpd="sng" algn="ctr">
              <a:solidFill>
                <a:schemeClr val="accent3">
                  <a:shade val="95000"/>
                </a:schemeClr>
              </a:solidFill>
              <a:round/>
            </a:ln>
            <a:effectLst/>
          </c:spPr>
          <c:invertIfNegative val="0"/>
          <c:cat>
            <c:numRef>
              <c:f>DB!$C$59:$E$59</c:f>
              <c:numCache>
                <c:formatCode>0</c:formatCode>
                <c:ptCount val="3"/>
                <c:pt idx="0">
                  <c:v>2022</c:v>
                </c:pt>
                <c:pt idx="1">
                  <c:v>2021</c:v>
                </c:pt>
                <c:pt idx="2">
                  <c:v>2020</c:v>
                </c:pt>
              </c:numCache>
            </c:numRef>
          </c:cat>
          <c:val>
            <c:numRef>
              <c:f>DB!$C$88:$E$88</c:f>
              <c:numCache>
                <c:formatCode>_ * #,##0_ ;_ * \-#,##0_ ;_ * "-"??_ ;_ @_ </c:formatCode>
                <c:ptCount val="3"/>
                <c:pt idx="0">
                  <c:v>2427451</c:v>
                </c:pt>
                <c:pt idx="1">
                  <c:v>1896411</c:v>
                </c:pt>
                <c:pt idx="2">
                  <c:v>1603492</c:v>
                </c:pt>
              </c:numCache>
            </c:numRef>
          </c:val>
          <c:extLst>
            <c:ext xmlns:c16="http://schemas.microsoft.com/office/drawing/2014/chart" uri="{C3380CC4-5D6E-409C-BE32-E72D297353CC}">
              <c16:uniqueId val="{00000000-A278-4210-8282-C97F6B0EEF32}"/>
            </c:ext>
          </c:extLst>
        </c:ser>
        <c:dLbls>
          <c:showLegendKey val="0"/>
          <c:showVal val="0"/>
          <c:showCatName val="0"/>
          <c:showSerName val="0"/>
          <c:showPercent val="0"/>
          <c:showBubbleSize val="0"/>
        </c:dLbls>
        <c:gapWidth val="100"/>
        <c:overlap val="-24"/>
        <c:axId val="399210136"/>
        <c:axId val="399207840"/>
      </c:barChart>
      <c:catAx>
        <c:axId val="399210136"/>
        <c:scaling>
          <c:orientation val="maxMin"/>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ru-RU"/>
          </a:p>
        </c:txPr>
        <c:crossAx val="399207840"/>
        <c:crosses val="autoZero"/>
        <c:auto val="1"/>
        <c:lblAlgn val="ctr"/>
        <c:lblOffset val="100"/>
        <c:noMultiLvlLbl val="0"/>
      </c:catAx>
      <c:valAx>
        <c:axId val="399207840"/>
        <c:scaling>
          <c:orientation val="minMax"/>
        </c:scaling>
        <c:delete val="0"/>
        <c:axPos val="r"/>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ru-RU"/>
          </a:p>
        </c:txPr>
        <c:crossAx val="399210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r>
              <a:rPr lang="en-US" sz="1400"/>
              <a:t>Cash Balance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endParaRPr lang="ru-RU"/>
        </a:p>
      </c:txPr>
    </c:title>
    <c:autoTitleDeleted val="0"/>
    <c:plotArea>
      <c:layout>
        <c:manualLayout>
          <c:layoutTarget val="inner"/>
          <c:xMode val="edge"/>
          <c:yMode val="edge"/>
          <c:x val="2.9177109440267336E-2"/>
          <c:y val="0.181048835125448"/>
          <c:w val="0.81256808688387638"/>
          <c:h val="0.69386917562724015"/>
        </c:manualLayout>
      </c:layout>
      <c:barChart>
        <c:barDir val="col"/>
        <c:grouping val="clustered"/>
        <c:varyColors val="0"/>
        <c:ser>
          <c:idx val="0"/>
          <c:order val="0"/>
          <c:tx>
            <c:v>Cash Balance</c:v>
          </c:tx>
          <c:spPr>
            <a:gradFill rotWithShape="1">
              <a:gsLst>
                <a:gs pos="0">
                  <a:schemeClr val="accent3">
                    <a:tint val="62000"/>
                    <a:hueMod val="94000"/>
                    <a:satMod val="140000"/>
                    <a:lumMod val="110000"/>
                  </a:schemeClr>
                </a:gs>
                <a:gs pos="100000">
                  <a:schemeClr val="accent3">
                    <a:tint val="84000"/>
                    <a:satMod val="160000"/>
                  </a:schemeClr>
                </a:gs>
              </a:gsLst>
              <a:lin ang="5400000" scaled="0"/>
            </a:gradFill>
            <a:ln w="9525" cap="flat" cmpd="sng" algn="ctr">
              <a:solidFill>
                <a:schemeClr val="accent3">
                  <a:shade val="95000"/>
                </a:schemeClr>
              </a:solidFill>
              <a:round/>
            </a:ln>
            <a:effectLst/>
          </c:spPr>
          <c:invertIfNegative val="0"/>
          <c:cat>
            <c:numRef>
              <c:f>DB!$C$59:$E$59</c:f>
              <c:numCache>
                <c:formatCode>0</c:formatCode>
                <c:ptCount val="3"/>
                <c:pt idx="0">
                  <c:v>2022</c:v>
                </c:pt>
                <c:pt idx="1">
                  <c:v>2021</c:v>
                </c:pt>
                <c:pt idx="2">
                  <c:v>2020</c:v>
                </c:pt>
              </c:numCache>
            </c:numRef>
          </c:cat>
          <c:val>
            <c:numRef>
              <c:f>DB!$C$90:$E$90</c:f>
              <c:numCache>
                <c:formatCode>_ * #,##0_ ;_ * \-#,##0_ ;_ * "-"??_ ;_ @_ </c:formatCode>
                <c:ptCount val="3"/>
                <c:pt idx="0">
                  <c:v>326674</c:v>
                </c:pt>
                <c:pt idx="1">
                  <c:v>393980</c:v>
                </c:pt>
                <c:pt idx="2">
                  <c:v>187624</c:v>
                </c:pt>
              </c:numCache>
            </c:numRef>
          </c:val>
          <c:extLst>
            <c:ext xmlns:c16="http://schemas.microsoft.com/office/drawing/2014/chart" uri="{C3380CC4-5D6E-409C-BE32-E72D297353CC}">
              <c16:uniqueId val="{00000000-9E42-483A-AE20-DBEE1E51BAF0}"/>
            </c:ext>
          </c:extLst>
        </c:ser>
        <c:dLbls>
          <c:showLegendKey val="0"/>
          <c:showVal val="0"/>
          <c:showCatName val="0"/>
          <c:showSerName val="0"/>
          <c:showPercent val="0"/>
          <c:showBubbleSize val="0"/>
        </c:dLbls>
        <c:gapWidth val="100"/>
        <c:overlap val="-24"/>
        <c:axId val="399210136"/>
        <c:axId val="399207840"/>
      </c:barChart>
      <c:catAx>
        <c:axId val="399210136"/>
        <c:scaling>
          <c:orientation val="maxMin"/>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ru-RU"/>
          </a:p>
        </c:txPr>
        <c:crossAx val="399207840"/>
        <c:crosses val="autoZero"/>
        <c:auto val="1"/>
        <c:lblAlgn val="ctr"/>
        <c:lblOffset val="100"/>
        <c:noMultiLvlLbl val="0"/>
      </c:catAx>
      <c:valAx>
        <c:axId val="399207840"/>
        <c:scaling>
          <c:orientation val="minMax"/>
        </c:scaling>
        <c:delete val="0"/>
        <c:axPos val="r"/>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ru-RU"/>
          </a:p>
        </c:txPr>
        <c:crossAx val="399210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DB!$A$106</c:f>
          <c:strCache>
            <c:ptCount val="1"/>
            <c:pt idx="0">
              <c:v>2022 Current Ratio</c:v>
            </c:pt>
          </c:strCache>
        </c:strRef>
      </c:tx>
      <c:overlay val="0"/>
      <c:spPr>
        <a:noFill/>
        <a:ln>
          <a:noFill/>
        </a:ln>
        <a:effectLst/>
      </c:spPr>
      <c:txPr>
        <a:bodyPr rot="0" spcFirstLastPara="1" vertOverflow="ellipsis" vert="horz" wrap="square" anchor="b" anchorCtr="1"/>
        <a:lstStyle/>
        <a:p>
          <a:pPr>
            <a:defRPr sz="1200" b="0" i="0" u="none" strike="noStrike" kern="1200" spc="0" baseline="0">
              <a:solidFill>
                <a:schemeClr val="tx1"/>
              </a:solidFill>
              <a:latin typeface="+mn-lt"/>
              <a:ea typeface="+mn-ea"/>
              <a:cs typeface="+mn-cs"/>
            </a:defRPr>
          </a:pPr>
          <a:endParaRPr lang="ru-RU"/>
        </a:p>
      </c:txPr>
    </c:title>
    <c:autoTitleDeleted val="0"/>
    <c:plotArea>
      <c:layout>
        <c:manualLayout>
          <c:layoutTarget val="inner"/>
          <c:xMode val="edge"/>
          <c:yMode val="edge"/>
          <c:x val="0.18389770723104054"/>
          <c:y val="0.20737830687830688"/>
          <c:w val="0.65123412698412708"/>
          <c:h val="0.65123412698412708"/>
        </c:manualLayout>
      </c:layout>
      <c:doughnutChart>
        <c:varyColors val="1"/>
        <c:ser>
          <c:idx val="1"/>
          <c:order val="0"/>
          <c:tx>
            <c:v>Current</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DB-4986-AEB3-2711A1780381}"/>
              </c:ext>
            </c:extLst>
          </c:dPt>
          <c:dPt>
            <c:idx val="1"/>
            <c:bubble3D val="0"/>
            <c:spPr>
              <a:solidFill>
                <a:schemeClr val="accent6">
                  <a:lumMod val="60000"/>
                  <a:lumOff val="40000"/>
                </a:schemeClr>
              </a:solidFill>
              <a:ln w="0">
                <a:noFill/>
              </a:ln>
              <a:effectLst/>
            </c:spPr>
            <c:extLst>
              <c:ext xmlns:c16="http://schemas.microsoft.com/office/drawing/2014/chart" uri="{C3380CC4-5D6E-409C-BE32-E72D297353CC}">
                <c16:uniqueId val="{00000003-7CDB-4986-AEB3-2711A1780381}"/>
              </c:ext>
            </c:extLst>
          </c:dPt>
          <c:dPt>
            <c:idx val="2"/>
            <c:bubble3D val="0"/>
            <c:spPr>
              <a:noFill/>
              <a:ln w="19050">
                <a:solidFill>
                  <a:schemeClr val="lt1"/>
                </a:solidFill>
              </a:ln>
              <a:effectLst/>
            </c:spPr>
            <c:extLst>
              <c:ext xmlns:c16="http://schemas.microsoft.com/office/drawing/2014/chart" uri="{C3380CC4-5D6E-409C-BE32-E72D297353CC}">
                <c16:uniqueId val="{00000005-7CDB-4986-AEB3-2711A1780381}"/>
              </c:ext>
            </c:extLst>
          </c:dPt>
          <c:val>
            <c:numRef>
              <c:f>DB!$D$106:$F$106</c:f>
              <c:numCache>
                <c:formatCode>#,##0</c:formatCode>
                <c:ptCount val="3"/>
                <c:pt idx="0">
                  <c:v>75.225563909774436</c:v>
                </c:pt>
                <c:pt idx="1">
                  <c:v>54.774436090225564</c:v>
                </c:pt>
                <c:pt idx="2">
                  <c:v>30</c:v>
                </c:pt>
              </c:numCache>
            </c:numRef>
          </c:val>
          <c:extLst>
            <c:ext xmlns:c16="http://schemas.microsoft.com/office/drawing/2014/chart" uri="{C3380CC4-5D6E-409C-BE32-E72D297353CC}">
              <c16:uniqueId val="{00000006-7CDB-4986-AEB3-2711A1780381}"/>
            </c:ext>
          </c:extLst>
        </c:ser>
        <c:dLbls>
          <c:showLegendKey val="0"/>
          <c:showVal val="0"/>
          <c:showCatName val="0"/>
          <c:showSerName val="0"/>
          <c:showPercent val="0"/>
          <c:showBubbleSize val="0"/>
          <c:showLeaderLines val="1"/>
        </c:dLbls>
        <c:firstSliceAng val="213"/>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DB!$A$108</c:f>
          <c:strCache>
            <c:ptCount val="1"/>
            <c:pt idx="0">
              <c:v>2022 Debt / Equity Ratio</c:v>
            </c:pt>
          </c:strCache>
        </c:strRef>
      </c:tx>
      <c:overlay val="0"/>
      <c:spPr>
        <a:noFill/>
        <a:ln>
          <a:noFill/>
        </a:ln>
        <a:effectLst/>
      </c:spPr>
      <c:txPr>
        <a:bodyPr rot="0" spcFirstLastPara="1" vertOverflow="ellipsis" vert="horz" wrap="square" anchor="b" anchorCtr="1"/>
        <a:lstStyle/>
        <a:p>
          <a:pPr>
            <a:defRPr sz="1200" b="0" i="0" u="none" strike="noStrike" kern="1200" spc="0" baseline="0">
              <a:solidFill>
                <a:schemeClr val="tx1"/>
              </a:solidFill>
              <a:latin typeface="+mn-lt"/>
              <a:ea typeface="+mn-ea"/>
              <a:cs typeface="+mn-cs"/>
            </a:defRPr>
          </a:pPr>
          <a:endParaRPr lang="ru-RU"/>
        </a:p>
      </c:txPr>
    </c:title>
    <c:autoTitleDeleted val="0"/>
    <c:plotArea>
      <c:layout>
        <c:manualLayout>
          <c:layoutTarget val="inner"/>
          <c:xMode val="edge"/>
          <c:yMode val="edge"/>
          <c:x val="0.18389770723104054"/>
          <c:y val="0.20737830687830688"/>
          <c:w val="0.65123412698412708"/>
          <c:h val="0.65123412698412708"/>
        </c:manualLayout>
      </c:layout>
      <c:doughnutChart>
        <c:varyColors val="1"/>
        <c:ser>
          <c:idx val="1"/>
          <c:order val="0"/>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04E9-4ADE-A0A9-0F4581465657}"/>
              </c:ext>
            </c:extLst>
          </c:dPt>
          <c:dPt>
            <c:idx val="1"/>
            <c:bubble3D val="0"/>
            <c:spPr>
              <a:solidFill>
                <a:srgbClr val="2EC4B6"/>
              </a:solidFill>
              <a:ln w="0">
                <a:noFill/>
              </a:ln>
              <a:effectLst/>
            </c:spPr>
            <c:extLst>
              <c:ext xmlns:c16="http://schemas.microsoft.com/office/drawing/2014/chart" uri="{C3380CC4-5D6E-409C-BE32-E72D297353CC}">
                <c16:uniqueId val="{00000003-04E9-4ADE-A0A9-0F4581465657}"/>
              </c:ext>
            </c:extLst>
          </c:dPt>
          <c:dPt>
            <c:idx val="2"/>
            <c:bubble3D val="0"/>
            <c:spPr>
              <a:noFill/>
              <a:ln w="19050">
                <a:solidFill>
                  <a:schemeClr val="lt1"/>
                </a:solidFill>
              </a:ln>
              <a:effectLst/>
            </c:spPr>
            <c:extLst>
              <c:ext xmlns:c16="http://schemas.microsoft.com/office/drawing/2014/chart" uri="{C3380CC4-5D6E-409C-BE32-E72D297353CC}">
                <c16:uniqueId val="{00000005-04E9-4ADE-A0A9-0F4581465657}"/>
              </c:ext>
            </c:extLst>
          </c:dPt>
          <c:val>
            <c:numRef>
              <c:f>DB!$D$108:$F$108</c:f>
              <c:numCache>
                <c:formatCode>#,##0</c:formatCode>
                <c:ptCount val="3"/>
                <c:pt idx="0">
                  <c:v>39.589372112497102</c:v>
                </c:pt>
                <c:pt idx="1">
                  <c:v>90.410627887502898</c:v>
                </c:pt>
                <c:pt idx="2">
                  <c:v>30</c:v>
                </c:pt>
              </c:numCache>
            </c:numRef>
          </c:val>
          <c:extLst>
            <c:ext xmlns:c16="http://schemas.microsoft.com/office/drawing/2014/chart" uri="{C3380CC4-5D6E-409C-BE32-E72D297353CC}">
              <c16:uniqueId val="{00000006-04E9-4ADE-A0A9-0F4581465657}"/>
            </c:ext>
          </c:extLst>
        </c:ser>
        <c:dLbls>
          <c:showLegendKey val="0"/>
          <c:showVal val="0"/>
          <c:showCatName val="0"/>
          <c:showSerName val="0"/>
          <c:showPercent val="0"/>
          <c:showBubbleSize val="0"/>
          <c:showLeaderLines val="1"/>
        </c:dLbls>
        <c:firstSliceAng val="213"/>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DB!$A$110</c:f>
          <c:strCache>
            <c:ptCount val="1"/>
            <c:pt idx="0">
              <c:v>2022 RONA</c:v>
            </c:pt>
          </c:strCache>
        </c:strRef>
      </c:tx>
      <c:overlay val="0"/>
      <c:spPr>
        <a:noFill/>
        <a:ln>
          <a:noFill/>
        </a:ln>
        <a:effectLst/>
      </c:spPr>
      <c:txPr>
        <a:bodyPr rot="0" spcFirstLastPara="1" vertOverflow="ellipsis" vert="horz" wrap="square" anchor="b" anchorCtr="1"/>
        <a:lstStyle/>
        <a:p>
          <a:pPr>
            <a:defRPr sz="1200" b="0" i="0" u="none" strike="noStrike" kern="1200" spc="0" baseline="0">
              <a:solidFill>
                <a:schemeClr val="tx1"/>
              </a:solidFill>
              <a:latin typeface="+mn-lt"/>
              <a:ea typeface="+mn-ea"/>
              <a:cs typeface="+mn-cs"/>
            </a:defRPr>
          </a:pPr>
          <a:endParaRPr lang="ru-RU"/>
        </a:p>
      </c:txPr>
    </c:title>
    <c:autoTitleDeleted val="0"/>
    <c:plotArea>
      <c:layout>
        <c:manualLayout>
          <c:layoutTarget val="inner"/>
          <c:xMode val="edge"/>
          <c:yMode val="edge"/>
          <c:x val="0.18389770723104054"/>
          <c:y val="0.20737830687830688"/>
          <c:w val="0.65123412698412708"/>
          <c:h val="0.65123412698412708"/>
        </c:manualLayout>
      </c:layout>
      <c:doughnutChart>
        <c:varyColors val="1"/>
        <c:ser>
          <c:idx val="1"/>
          <c:order val="0"/>
          <c:tx>
            <c:v>RONA</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51-41BB-B267-A6D890E39E89}"/>
              </c:ext>
            </c:extLst>
          </c:dPt>
          <c:dPt>
            <c:idx val="1"/>
            <c:bubble3D val="0"/>
            <c:spPr>
              <a:solidFill>
                <a:schemeClr val="bg1">
                  <a:lumMod val="95000"/>
                </a:schemeClr>
              </a:solidFill>
              <a:ln w="0">
                <a:noFill/>
              </a:ln>
              <a:effectLst/>
            </c:spPr>
            <c:extLst>
              <c:ext xmlns:c16="http://schemas.microsoft.com/office/drawing/2014/chart" uri="{C3380CC4-5D6E-409C-BE32-E72D297353CC}">
                <c16:uniqueId val="{00000003-6951-41BB-B267-A6D890E39E89}"/>
              </c:ext>
            </c:extLst>
          </c:dPt>
          <c:dPt>
            <c:idx val="2"/>
            <c:bubble3D val="0"/>
            <c:spPr>
              <a:noFill/>
              <a:ln w="19050">
                <a:solidFill>
                  <a:schemeClr val="lt1"/>
                </a:solidFill>
              </a:ln>
              <a:effectLst/>
            </c:spPr>
            <c:extLst>
              <c:ext xmlns:c16="http://schemas.microsoft.com/office/drawing/2014/chart" uri="{C3380CC4-5D6E-409C-BE32-E72D297353CC}">
                <c16:uniqueId val="{00000005-6951-41BB-B267-A6D890E39E89}"/>
              </c:ext>
            </c:extLst>
          </c:dPt>
          <c:val>
            <c:numRef>
              <c:f>DB!$D$110:$F$110</c:f>
              <c:numCache>
                <c:formatCode>#,##0</c:formatCode>
                <c:ptCount val="3"/>
                <c:pt idx="0">
                  <c:v>20.547344927343953</c:v>
                </c:pt>
                <c:pt idx="1">
                  <c:v>109.45265507265604</c:v>
                </c:pt>
                <c:pt idx="2">
                  <c:v>30</c:v>
                </c:pt>
              </c:numCache>
            </c:numRef>
          </c:val>
          <c:extLst>
            <c:ext xmlns:c16="http://schemas.microsoft.com/office/drawing/2014/chart" uri="{C3380CC4-5D6E-409C-BE32-E72D297353CC}">
              <c16:uniqueId val="{00000006-6951-41BB-B267-A6D890E39E89}"/>
            </c:ext>
          </c:extLst>
        </c:ser>
        <c:dLbls>
          <c:showLegendKey val="0"/>
          <c:showVal val="0"/>
          <c:showCatName val="0"/>
          <c:showSerName val="0"/>
          <c:showPercent val="0"/>
          <c:showBubbleSize val="0"/>
          <c:showLeaderLines val="1"/>
        </c:dLbls>
        <c:firstSliceAng val="213"/>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excel-skills.com.au/financial-projections-template.php" TargetMode="External"/></Relationships>
</file>

<file path=xl/drawings/_rels/drawing9.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0</xdr:col>
      <xdr:colOff>22860</xdr:colOff>
      <xdr:row>0</xdr:row>
      <xdr:rowOff>22860</xdr:rowOff>
    </xdr:from>
    <xdr:to>
      <xdr:col>8</xdr:col>
      <xdr:colOff>679500</xdr:colOff>
      <xdr:row>21</xdr:row>
      <xdr:rowOff>14010</xdr:rowOff>
    </xdr:to>
    <xdr:grpSp>
      <xdr:nvGrpSpPr>
        <xdr:cNvPr id="4" name="Group 3">
          <a:extLst>
            <a:ext uri="{FF2B5EF4-FFF2-40B4-BE49-F238E27FC236}">
              <a16:creationId xmlns:a16="http://schemas.microsoft.com/office/drawing/2014/main" id="{D2012A06-1AC4-4938-B06D-034A3A5F3BD3}"/>
            </a:ext>
          </a:extLst>
        </xdr:cNvPr>
        <xdr:cNvGrpSpPr/>
      </xdr:nvGrpSpPr>
      <xdr:grpSpPr>
        <a:xfrm>
          <a:off x="22860" y="22860"/>
          <a:ext cx="9252000" cy="3671610"/>
          <a:chOff x="17134" y="17145"/>
          <a:chExt cx="9252000" cy="3671610"/>
        </a:xfrm>
      </xdr:grpSpPr>
      <xdr:sp macro="" textlink="" fLocksText="0">
        <xdr:nvSpPr>
          <xdr:cNvPr id="5" name="Rectangle 1">
            <a:extLst>
              <a:ext uri="{FF2B5EF4-FFF2-40B4-BE49-F238E27FC236}">
                <a16:creationId xmlns:a16="http://schemas.microsoft.com/office/drawing/2014/main" id="{B7947B4D-52DF-4FE9-853B-DD12224E2148}"/>
              </a:ext>
            </a:extLst>
          </xdr:cNvPr>
          <xdr:cNvSpPr>
            <a:spLocks noChangeArrowheads="1"/>
          </xdr:cNvSpPr>
        </xdr:nvSpPr>
        <xdr:spPr bwMode="auto">
          <a:xfrm>
            <a:off x="17134" y="17145"/>
            <a:ext cx="9252000" cy="3671610"/>
          </a:xfrm>
          <a:prstGeom prst="rect">
            <a:avLst/>
          </a:prstGeom>
          <a:solidFill>
            <a:schemeClr val="accent1">
              <a:lumMod val="50000"/>
            </a:schemeClr>
          </a:solidFill>
          <a:ln w="9525">
            <a:noFill/>
            <a:miter lim="800000"/>
            <a:headEnd/>
            <a:tailEnd/>
          </a:ln>
          <a:effectLst>
            <a:outerShdw blurRad="50800" dist="38100" dir="2700000" algn="tl" rotWithShape="0">
              <a:prstClr val="black">
                <a:alpha val="40000"/>
              </a:prstClr>
            </a:outerShdw>
          </a:effectLst>
        </xdr:spPr>
        <xdr:txBody>
          <a:bodyPr vertOverflow="clip" horzOverflow="clip" wrap="square" lIns="180000" tIns="180000" rIns="180000" bIns="180000" anchor="t" anchorCtr="0" upright="1">
            <a:noAutofit/>
          </a:bodyPr>
          <a:lstStyle/>
          <a:p>
            <a:pPr algn="l" rtl="0">
              <a:lnSpc>
                <a:spcPct val="100000"/>
              </a:lnSpc>
              <a:spcAft>
                <a:spcPts val="0"/>
              </a:spcAft>
              <a:defRPr sz="1000"/>
            </a:pPr>
            <a:r>
              <a:rPr lang="en-US" sz="1200" b="1" i="0" u="none" strike="noStrike" baseline="0">
                <a:solidFill>
                  <a:schemeClr val="bg1"/>
                </a:solidFill>
                <a:latin typeface="+mn-lt"/>
                <a:cs typeface="Arial" panose="020B0604020202020204" pitchFamily="34" charset="0"/>
              </a:rPr>
              <a:t>EXCEL SKILLS AUSTRALIA</a:t>
            </a:r>
          </a:p>
          <a:p>
            <a:pPr algn="l" rtl="0">
              <a:lnSpc>
                <a:spcPct val="100000"/>
              </a:lnSpc>
              <a:defRPr sz="1000"/>
            </a:pPr>
            <a:r>
              <a:rPr lang="en-US" sz="2400" b="1" i="0" u="none" strike="noStrike" baseline="0">
                <a:solidFill>
                  <a:srgbClr val="FFFFFF"/>
                </a:solidFill>
                <a:latin typeface="Berlin Sans FB Demi" panose="020E0802020502020306" pitchFamily="34" charset="0"/>
                <a:cs typeface="Arial"/>
              </a:rPr>
              <a:t>FINANCIAL ANALYSIS TEMPLATE</a:t>
            </a:r>
          </a:p>
          <a:p>
            <a:pPr algn="just" rtl="0">
              <a:lnSpc>
                <a:spcPts val="1500"/>
              </a:lnSpc>
              <a:spcBef>
                <a:spcPts val="300"/>
              </a:spcBef>
              <a:spcAft>
                <a:spcPts val="300"/>
              </a:spcAft>
              <a:defRPr sz="1000"/>
            </a:pPr>
            <a:r>
              <a:rPr lang="en-US" sz="1100" b="0" i="0" u="none" strike="noStrike" baseline="0">
                <a:solidFill>
                  <a:srgbClr val="FFFFFF"/>
                </a:solidFill>
                <a:latin typeface="+mn-lt"/>
                <a:cs typeface="Arial" panose="020B0604020202020204" pitchFamily="34" charset="0"/>
              </a:rPr>
              <a:t>This template enables users to compare financial results for 3 annual periods. The user is required to add the appropriate annual trial balances to the template and to link each account on the trial balance to a pre-defined financial statement reporting class. The template produces automated financial reports consisting of an income statement, cash flow statement and balance sheet based on the linked trial balances and compares all amounts on the financial reports between annual periods in terms of the difference in value and percentage.</a:t>
            </a:r>
          </a:p>
          <a:p>
            <a:pPr marL="1800000" algn="just" rtl="0">
              <a:lnSpc>
                <a:spcPct val="100000"/>
              </a:lnSpc>
              <a:spcBef>
                <a:spcPts val="1200"/>
              </a:spcBef>
              <a:spcAft>
                <a:spcPts val="300"/>
              </a:spcAft>
              <a:defRPr sz="1000"/>
            </a:pPr>
            <a:r>
              <a:rPr lang="en-US" sz="1200" b="1" i="0" u="none" strike="noStrike" baseline="0">
                <a:solidFill>
                  <a:srgbClr val="FFFFFF"/>
                </a:solidFill>
                <a:latin typeface="+mn-lt"/>
                <a:cs typeface="Arial" panose="020B0604020202020204" pitchFamily="34" charset="0"/>
              </a:rPr>
              <a:t>Get the full version of the template to unlock all the formulas!</a:t>
            </a:r>
          </a:p>
          <a:p>
            <a:pPr marL="1800000" algn="just" rtl="0">
              <a:lnSpc>
                <a:spcPts val="1500"/>
              </a:lnSpc>
              <a:spcBef>
                <a:spcPts val="0"/>
              </a:spcBef>
              <a:spcAft>
                <a:spcPts val="300"/>
              </a:spcAft>
              <a:defRPr sz="1000"/>
            </a:pPr>
            <a:r>
              <a:rPr lang="en-US" sz="1100" b="0" i="0" u="none" strike="noStrike" baseline="0">
                <a:solidFill>
                  <a:srgbClr val="FFFFFF"/>
                </a:solidFill>
                <a:latin typeface="+mn-lt"/>
                <a:cs typeface="Arial" panose="020B0604020202020204" pitchFamily="34" charset="0"/>
              </a:rPr>
              <a:t>This is only a sample file created to show you the design of the template. Get the full version for a fully unprotected version of the template where you have full access to all areas of the template including all formulas. You will also be able to edit and customize the full version just like any of your own Excel files.</a:t>
            </a:r>
          </a:p>
        </xdr:txBody>
      </xdr:sp>
      <xdr:sp macro="" textlink="" fLocksText="0">
        <xdr:nvSpPr>
          <xdr:cNvPr id="6" name="TextBox 5">
            <a:hlinkClick xmlns:r="http://schemas.openxmlformats.org/officeDocument/2006/relationships" r:id="rId1"/>
            <a:extLst>
              <a:ext uri="{FF2B5EF4-FFF2-40B4-BE49-F238E27FC236}">
                <a16:creationId xmlns:a16="http://schemas.microsoft.com/office/drawing/2014/main" id="{C613B431-6497-465F-8679-8E3950B165FA}"/>
              </a:ext>
            </a:extLst>
          </xdr:cNvPr>
          <xdr:cNvSpPr txBox="1"/>
        </xdr:nvSpPr>
        <xdr:spPr>
          <a:xfrm>
            <a:off x="2011680" y="2901317"/>
            <a:ext cx="4680000" cy="485145"/>
          </a:xfrm>
          <a:prstGeom prst="rect">
            <a:avLst/>
          </a:prstGeom>
          <a:solidFill>
            <a:srgbClr val="FE4A49"/>
          </a:solidFill>
          <a:ln w="50800" cap="rnd" cmpd="sng">
            <a:solidFill>
              <a:srgbClr val="FE4A49"/>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ZA" sz="1400" b="1" u="none">
                <a:solidFill>
                  <a:schemeClr val="bg1"/>
                </a:solidFill>
                <a:latin typeface="+mn-lt"/>
              </a:rPr>
              <a:t>Get</a:t>
            </a:r>
            <a:r>
              <a:rPr lang="en-ZA" sz="1400" b="1" u="none" baseline="0">
                <a:solidFill>
                  <a:schemeClr val="bg1"/>
                </a:solidFill>
                <a:latin typeface="+mn-lt"/>
              </a:rPr>
              <a:t> the full version of this template!</a:t>
            </a:r>
            <a:endParaRPr lang="en-ZA" sz="1400" b="1" u="none">
              <a:solidFill>
                <a:schemeClr val="bg1"/>
              </a:solidFill>
              <a:latin typeface="+mn-lt"/>
            </a:endParaRPr>
          </a:p>
        </xdr:txBody>
      </xdr:sp>
      <xdr:sp macro="" textlink="" fLocksText="0">
        <xdr:nvSpPr>
          <xdr:cNvPr id="7" name="TextBox 6">
            <a:extLst>
              <a:ext uri="{FF2B5EF4-FFF2-40B4-BE49-F238E27FC236}">
                <a16:creationId xmlns:a16="http://schemas.microsoft.com/office/drawing/2014/main" id="{7F335C8A-369C-4570-A7B9-A96871F7D92E}"/>
              </a:ext>
            </a:extLst>
          </xdr:cNvPr>
          <xdr:cNvSpPr txBox="1"/>
        </xdr:nvSpPr>
        <xdr:spPr>
          <a:xfrm>
            <a:off x="2004060" y="3413760"/>
            <a:ext cx="4680000" cy="251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ZA" sz="1000" i="1">
                <a:solidFill>
                  <a:schemeClr val="bg1">
                    <a:lumMod val="75000"/>
                  </a:schemeClr>
                </a:solidFill>
              </a:rPr>
              <a:t>enable editing to activate the link</a:t>
            </a:r>
          </a:p>
        </xdr:txBody>
      </xdr:sp>
      <xdr:pic>
        <xdr:nvPicPr>
          <xdr:cNvPr id="8" name="Picture 7">
            <a:extLst>
              <a:ext uri="{FF2B5EF4-FFF2-40B4-BE49-F238E27FC236}">
                <a16:creationId xmlns:a16="http://schemas.microsoft.com/office/drawing/2014/main" id="{181392E4-6B8A-452A-9E12-F350389ED9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6220" y="1912620"/>
            <a:ext cx="1524000" cy="1524000"/>
          </a:xfrm>
          <a:prstGeom prst="rect">
            <a:avLst/>
          </a:prstGeom>
        </xdr:spPr>
      </xdr:pic>
    </xdr:grpSp>
    <xdr:clientData fPrintsWithSheet="0"/>
  </xdr:twoCellAnchor>
</xdr:wsDr>
</file>

<file path=xl/drawings/drawing2.xml><?xml version="1.0" encoding="utf-8"?>
<xdr:wsDr xmlns:xdr="http://schemas.openxmlformats.org/drawingml/2006/spreadsheetDrawing" xmlns:a="http://schemas.openxmlformats.org/drawingml/2006/main">
  <xdr:oneCellAnchor>
    <xdr:from>
      <xdr:col>1</xdr:col>
      <xdr:colOff>342900</xdr:colOff>
      <xdr:row>4</xdr:row>
      <xdr:rowOff>190500</xdr:rowOff>
    </xdr:from>
    <xdr:ext cx="2781300" cy="1114490"/>
    <xdr:sp macro="" textlink="">
      <xdr:nvSpPr>
        <xdr:cNvPr id="4" name="Rectangle 17">
          <a:extLst>
            <a:ext uri="{FF2B5EF4-FFF2-40B4-BE49-F238E27FC236}">
              <a16:creationId xmlns:a16="http://schemas.microsoft.com/office/drawing/2014/main" id="{641596A5-397E-4EDA-A1E2-4344F5A38E97}"/>
            </a:ext>
          </a:extLst>
        </xdr:cNvPr>
        <xdr:cNvSpPr>
          <a:spLocks noChangeArrowheads="1"/>
        </xdr:cNvSpPr>
      </xdr:nvSpPr>
      <xdr:spPr bwMode="auto">
        <a:xfrm>
          <a:off x="7871460" y="937260"/>
          <a:ext cx="2781300" cy="1114490"/>
        </a:xfrm>
        <a:prstGeom prst="rect">
          <a:avLst/>
        </a:prstGeom>
        <a:solidFill>
          <a:schemeClr val="accent1">
            <a:lumMod val="50000"/>
          </a:schemeClr>
        </a:solidFill>
        <a:ln w="9525">
          <a:noFill/>
          <a:miter lim="800000"/>
          <a:headEnd/>
          <a:tailEnd/>
        </a:ln>
        <a:effectLst>
          <a:outerShdw blurRad="50800" dist="38100" dir="2700000" algn="tl" rotWithShape="0">
            <a:prstClr val="black">
              <a:alpha val="40000"/>
            </a:prstClr>
          </a:outerShdw>
        </a:effectLst>
      </xdr:spPr>
      <xdr:txBody>
        <a:bodyPr vertOverflow="clip" wrap="square" lIns="180000" tIns="180000" rIns="180000" bIns="180000" anchor="ctr" anchorCtr="0" upright="1">
          <a:spAutoFit/>
        </a:bodyPr>
        <a:lstStyle/>
        <a:p>
          <a:pPr algn="ctr" rtl="0">
            <a:lnSpc>
              <a:spcPts val="1500"/>
            </a:lnSpc>
            <a:defRPr sz="1000"/>
          </a:pPr>
          <a:r>
            <a:rPr lang="en-US" sz="800" b="1" i="0" u="none" strike="noStrike" baseline="0">
              <a:solidFill>
                <a:schemeClr val="accent1">
                  <a:lumMod val="20000"/>
                  <a:lumOff val="80000"/>
                </a:schemeClr>
              </a:solidFill>
              <a:latin typeface="+mn-lt"/>
              <a:cs typeface="Arial"/>
            </a:rPr>
            <a:t>On this sheet:</a:t>
          </a:r>
        </a:p>
        <a:p>
          <a:pPr algn="ctr" rtl="0">
            <a:lnSpc>
              <a:spcPts val="1500"/>
            </a:lnSpc>
            <a:defRPr sz="1000"/>
          </a:pPr>
          <a:r>
            <a:rPr lang="en-US" sz="1050" b="1" i="0" u="none" strike="noStrike" baseline="0">
              <a:solidFill>
                <a:schemeClr val="bg1"/>
              </a:solidFill>
              <a:latin typeface="+mn-lt"/>
              <a:cs typeface="Arial"/>
            </a:rPr>
            <a:t>This sheet includes detailed instructions on setting up and using this template. </a:t>
          </a:r>
        </a:p>
      </xdr:txBody>
    </xdr:sp>
    <xdr:clientData fLocksWithSheet="0" fPrintsWithSheet="0"/>
  </xdr:oneCellAnchor>
</xdr:wsDr>
</file>

<file path=xl/drawings/drawing3.xml><?xml version="1.0" encoding="utf-8"?>
<xdr:wsDr xmlns:xdr="http://schemas.openxmlformats.org/drawingml/2006/spreadsheetDrawing" xmlns:a="http://schemas.openxmlformats.org/drawingml/2006/main">
  <xdr:oneCellAnchor>
    <xdr:from>
      <xdr:col>3</xdr:col>
      <xdr:colOff>188495</xdr:colOff>
      <xdr:row>5</xdr:row>
      <xdr:rowOff>77791</xdr:rowOff>
    </xdr:from>
    <xdr:ext cx="5049252" cy="1308261"/>
    <xdr:sp macro="" textlink="">
      <xdr:nvSpPr>
        <xdr:cNvPr id="2" name="Rectangle 17">
          <a:extLst>
            <a:ext uri="{FF2B5EF4-FFF2-40B4-BE49-F238E27FC236}">
              <a16:creationId xmlns:a16="http://schemas.microsoft.com/office/drawing/2014/main" id="{00000000-0008-0000-0400-000002000000}"/>
            </a:ext>
          </a:extLst>
        </xdr:cNvPr>
        <xdr:cNvSpPr>
          <a:spLocks noChangeArrowheads="1"/>
        </xdr:cNvSpPr>
      </xdr:nvSpPr>
      <xdr:spPr bwMode="auto">
        <a:xfrm>
          <a:off x="3404937" y="1040317"/>
          <a:ext cx="5049252" cy="1308261"/>
        </a:xfrm>
        <a:prstGeom prst="rect">
          <a:avLst/>
        </a:prstGeom>
        <a:solidFill>
          <a:schemeClr val="accent1">
            <a:lumMod val="50000"/>
          </a:schemeClr>
        </a:solidFill>
        <a:ln w="9525">
          <a:noFill/>
          <a:miter lim="800000"/>
          <a:headEnd/>
          <a:tailEnd/>
        </a:ln>
        <a:effectLst>
          <a:outerShdw blurRad="50800" dist="38100" dir="2700000" algn="tl" rotWithShape="0">
            <a:prstClr val="black">
              <a:alpha val="40000"/>
            </a:prstClr>
          </a:outerShdw>
        </a:effectLst>
      </xdr:spPr>
      <xdr:txBody>
        <a:bodyPr vertOverflow="clip" wrap="square" lIns="180000" tIns="180000" rIns="180000" bIns="180000" anchor="ctr" anchorCtr="0" upright="1">
          <a:spAutoFit/>
        </a:bodyPr>
        <a:lstStyle/>
        <a:p>
          <a:pPr algn="ctr" rtl="0">
            <a:lnSpc>
              <a:spcPts val="1500"/>
            </a:lnSpc>
            <a:defRPr sz="1000"/>
          </a:pPr>
          <a:r>
            <a:rPr lang="en-US" sz="900" b="1" i="0" u="none" strike="noStrike" baseline="0">
              <a:solidFill>
                <a:schemeClr val="accent1">
                  <a:lumMod val="20000"/>
                  <a:lumOff val="80000"/>
                </a:schemeClr>
              </a:solidFill>
              <a:latin typeface="+mn-lt"/>
              <a:cs typeface="Arial"/>
            </a:rPr>
            <a:t>On this sheet:</a:t>
          </a:r>
        </a:p>
        <a:p>
          <a:pPr algn="just" rtl="0">
            <a:lnSpc>
              <a:spcPts val="1500"/>
            </a:lnSpc>
            <a:defRPr sz="1000"/>
          </a:pPr>
          <a:r>
            <a:rPr lang="en-US" sz="1100" b="1" i="0" u="none" strike="noStrike" baseline="0">
              <a:solidFill>
                <a:schemeClr val="bg1"/>
              </a:solidFill>
              <a:latin typeface="+mn-lt"/>
              <a:cs typeface="Arial"/>
            </a:rPr>
            <a:t>Enter your business name and specify the financial year end month &amp; reporting year. The reporting year determines which annual periods will be included on the income statement, cash flow statement and balance sheet.</a:t>
          </a:r>
        </a:p>
      </xdr:txBody>
    </xdr:sp>
    <xdr:clientData fLocksWithSheet="0" fPrintsWithSheet="0"/>
  </xdr:oneCellAnchor>
</xdr:wsDr>
</file>

<file path=xl/drawings/drawing4.xml><?xml version="1.0" encoding="utf-8"?>
<xdr:wsDr xmlns:xdr="http://schemas.openxmlformats.org/drawingml/2006/spreadsheetDrawing" xmlns:a="http://schemas.openxmlformats.org/drawingml/2006/main">
  <xdr:oneCellAnchor>
    <xdr:from>
      <xdr:col>3</xdr:col>
      <xdr:colOff>96253</xdr:colOff>
      <xdr:row>9</xdr:row>
      <xdr:rowOff>72261</xdr:rowOff>
    </xdr:from>
    <xdr:ext cx="6031831" cy="1500622"/>
    <xdr:sp macro="" textlink="">
      <xdr:nvSpPr>
        <xdr:cNvPr id="3" name="Rectangle 17">
          <a:extLst>
            <a:ext uri="{FF2B5EF4-FFF2-40B4-BE49-F238E27FC236}">
              <a16:creationId xmlns:a16="http://schemas.microsoft.com/office/drawing/2014/main" id="{2BCEFE63-7D73-4D3D-A961-C69B52907BF4}"/>
            </a:ext>
          </a:extLst>
        </xdr:cNvPr>
        <xdr:cNvSpPr>
          <a:spLocks noChangeArrowheads="1"/>
        </xdr:cNvSpPr>
      </xdr:nvSpPr>
      <xdr:spPr bwMode="auto">
        <a:xfrm>
          <a:off x="4692316" y="1909082"/>
          <a:ext cx="6031831" cy="1500622"/>
        </a:xfrm>
        <a:prstGeom prst="rect">
          <a:avLst/>
        </a:prstGeom>
        <a:solidFill>
          <a:schemeClr val="accent1">
            <a:lumMod val="50000"/>
          </a:schemeClr>
        </a:solidFill>
        <a:ln w="9525">
          <a:noFill/>
          <a:miter lim="800000"/>
          <a:headEnd/>
          <a:tailEnd/>
        </a:ln>
        <a:effectLst>
          <a:outerShdw blurRad="50800" dist="38100" dir="2700000" algn="tl" rotWithShape="0">
            <a:prstClr val="black">
              <a:alpha val="40000"/>
            </a:prstClr>
          </a:outerShdw>
        </a:effectLst>
      </xdr:spPr>
      <xdr:txBody>
        <a:bodyPr vertOverflow="clip" wrap="square" lIns="180000" tIns="180000" rIns="180000" bIns="180000" anchor="ctr" anchorCtr="0" upright="1">
          <a:spAutoFit/>
        </a:bodyPr>
        <a:lstStyle/>
        <a:p>
          <a:pPr algn="ctr" rtl="0">
            <a:lnSpc>
              <a:spcPts val="1500"/>
            </a:lnSpc>
            <a:defRPr sz="1000"/>
          </a:pPr>
          <a:r>
            <a:rPr lang="en-US" sz="900" b="1" i="0" u="none" strike="noStrike" baseline="0">
              <a:solidFill>
                <a:schemeClr val="accent1">
                  <a:lumMod val="20000"/>
                  <a:lumOff val="80000"/>
                </a:schemeClr>
              </a:solidFill>
              <a:latin typeface="+mn-lt"/>
              <a:cs typeface="Arial"/>
            </a:rPr>
            <a:t>On this sheet:</a:t>
          </a:r>
        </a:p>
        <a:p>
          <a:pPr algn="just" rtl="0">
            <a:lnSpc>
              <a:spcPts val="1500"/>
            </a:lnSpc>
            <a:defRPr sz="1000"/>
          </a:pPr>
          <a:r>
            <a:rPr lang="en-US" sz="1100" b="1" i="0" u="none" strike="noStrike" baseline="0">
              <a:solidFill>
                <a:schemeClr val="bg1"/>
              </a:solidFill>
              <a:latin typeface="+mn-lt"/>
              <a:cs typeface="Arial"/>
            </a:rPr>
            <a:t>This sheet contains all the pre-defined financial statement reporting classes used to link the accounts on the trial balance to the calculations on the financial reports. The class descriptions on this sheet are displayed on the financial statements and the sheet also includes error checking in the Status column which highlights errors in the linking of the reporting classes.</a:t>
          </a:r>
        </a:p>
      </xdr:txBody>
    </xdr:sp>
    <xdr:clientData fLocksWithSheet="0" fPrintsWithSheet="0"/>
  </xdr:oneCellAnchor>
</xdr:wsDr>
</file>

<file path=xl/drawings/drawing5.xml><?xml version="1.0" encoding="utf-8"?>
<xdr:wsDr xmlns:xdr="http://schemas.openxmlformats.org/drawingml/2006/spreadsheetDrawing" xmlns:a="http://schemas.openxmlformats.org/drawingml/2006/main">
  <xdr:oneCellAnchor>
    <xdr:from>
      <xdr:col>9</xdr:col>
      <xdr:colOff>569494</xdr:colOff>
      <xdr:row>10</xdr:row>
      <xdr:rowOff>96397</xdr:rowOff>
    </xdr:from>
    <xdr:ext cx="5253790" cy="1692982"/>
    <xdr:sp macro="" textlink="">
      <xdr:nvSpPr>
        <xdr:cNvPr id="4" name="Rectangle 17">
          <a:extLst>
            <a:ext uri="{FF2B5EF4-FFF2-40B4-BE49-F238E27FC236}">
              <a16:creationId xmlns:a16="http://schemas.microsoft.com/office/drawing/2014/main" id="{B8B81E9E-7923-4ACB-98D5-1F55E6684C2B}"/>
            </a:ext>
          </a:extLst>
        </xdr:cNvPr>
        <xdr:cNvSpPr>
          <a:spLocks noChangeArrowheads="1"/>
        </xdr:cNvSpPr>
      </xdr:nvSpPr>
      <xdr:spPr bwMode="auto">
        <a:xfrm>
          <a:off x="10282989" y="2133744"/>
          <a:ext cx="5253790" cy="1692982"/>
        </a:xfrm>
        <a:prstGeom prst="rect">
          <a:avLst/>
        </a:prstGeom>
        <a:solidFill>
          <a:schemeClr val="accent1">
            <a:lumMod val="50000"/>
          </a:schemeClr>
        </a:solidFill>
        <a:ln w="9525">
          <a:noFill/>
          <a:miter lim="800000"/>
          <a:headEnd/>
          <a:tailEnd/>
        </a:ln>
        <a:effectLst>
          <a:outerShdw blurRad="50800" dist="38100" dir="2700000" algn="tl" rotWithShape="0">
            <a:prstClr val="black">
              <a:alpha val="40000"/>
            </a:prstClr>
          </a:outerShdw>
        </a:effectLst>
      </xdr:spPr>
      <xdr:txBody>
        <a:bodyPr vertOverflow="clip" wrap="square" lIns="180000" tIns="180000" rIns="180000" bIns="180000" anchor="ctr" anchorCtr="0" upright="1">
          <a:spAutoFit/>
        </a:bodyPr>
        <a:lstStyle/>
        <a:p>
          <a:pPr algn="ctr" rtl="0">
            <a:lnSpc>
              <a:spcPts val="1500"/>
            </a:lnSpc>
            <a:defRPr sz="1000"/>
          </a:pPr>
          <a:r>
            <a:rPr lang="en-US" sz="900" b="1" i="0" u="none" strike="noStrike" baseline="0">
              <a:solidFill>
                <a:schemeClr val="accent1">
                  <a:lumMod val="20000"/>
                  <a:lumOff val="80000"/>
                </a:schemeClr>
              </a:solidFill>
              <a:latin typeface="+mn-lt"/>
              <a:cs typeface="Arial"/>
            </a:rPr>
            <a:t>On this sheet:</a:t>
          </a:r>
        </a:p>
        <a:p>
          <a:pPr algn="just" rtl="0">
            <a:lnSpc>
              <a:spcPts val="1500"/>
            </a:lnSpc>
            <a:defRPr sz="1000"/>
          </a:pPr>
          <a:r>
            <a:rPr lang="en-US" sz="1100" b="1" i="0" u="none" strike="noStrike" baseline="0">
              <a:solidFill>
                <a:schemeClr val="bg1"/>
              </a:solidFill>
              <a:latin typeface="+mn-lt"/>
              <a:cs typeface="Arial"/>
            </a:rPr>
            <a:t>A complete trial balance for each annual period should be included on this sheet and each account in the trial balance should be linked to the appropriate financial statement reporting class by entering or copying the appropriate class code into column B. The amounts included on the financial reports are automatically updated based on the classes specified on this sheet.</a:t>
          </a:r>
        </a:p>
      </xdr:txBody>
    </xdr:sp>
    <xdr:clientData fLocksWithSheet="0" fPrintsWithSheet="0"/>
  </xdr:oneCellAnchor>
</xdr:wsDr>
</file>

<file path=xl/drawings/drawing6.xml><?xml version="1.0" encoding="utf-8"?>
<xdr:wsDr xmlns:xdr="http://schemas.openxmlformats.org/drawingml/2006/spreadsheetDrawing" xmlns:a="http://schemas.openxmlformats.org/drawingml/2006/main">
  <xdr:oneCellAnchor>
    <xdr:from>
      <xdr:col>2</xdr:col>
      <xdr:colOff>80211</xdr:colOff>
      <xdr:row>8</xdr:row>
      <xdr:rowOff>56292</xdr:rowOff>
    </xdr:from>
    <xdr:ext cx="5638800" cy="1692982"/>
    <xdr:sp macro="" textlink="">
      <xdr:nvSpPr>
        <xdr:cNvPr id="4" name="Rectangle 17">
          <a:extLst>
            <a:ext uri="{FF2B5EF4-FFF2-40B4-BE49-F238E27FC236}">
              <a16:creationId xmlns:a16="http://schemas.microsoft.com/office/drawing/2014/main" id="{B5B5E280-C601-43B8-BAB1-D1E2B9B1604B}"/>
            </a:ext>
          </a:extLst>
        </xdr:cNvPr>
        <xdr:cNvSpPr>
          <a:spLocks noChangeArrowheads="1"/>
        </xdr:cNvSpPr>
      </xdr:nvSpPr>
      <xdr:spPr bwMode="auto">
        <a:xfrm>
          <a:off x="3954379" y="1692587"/>
          <a:ext cx="5638800" cy="1692982"/>
        </a:xfrm>
        <a:prstGeom prst="rect">
          <a:avLst/>
        </a:prstGeom>
        <a:solidFill>
          <a:schemeClr val="accent1">
            <a:lumMod val="50000"/>
          </a:schemeClr>
        </a:solidFill>
        <a:ln w="9525">
          <a:noFill/>
          <a:miter lim="800000"/>
          <a:headEnd/>
          <a:tailEnd/>
        </a:ln>
        <a:effectLst>
          <a:outerShdw blurRad="50800" dist="38100" dir="2700000" algn="tl" rotWithShape="0">
            <a:prstClr val="black">
              <a:alpha val="40000"/>
            </a:prstClr>
          </a:outerShdw>
        </a:effectLst>
      </xdr:spPr>
      <xdr:txBody>
        <a:bodyPr vertOverflow="clip" wrap="square" lIns="180000" tIns="180000" rIns="180000" bIns="180000" anchor="ctr" anchorCtr="0" upright="1">
          <a:spAutoFit/>
        </a:bodyPr>
        <a:lstStyle/>
        <a:p>
          <a:pPr algn="ctr" rtl="0">
            <a:lnSpc>
              <a:spcPts val="1500"/>
            </a:lnSpc>
            <a:defRPr sz="1000"/>
          </a:pPr>
          <a:r>
            <a:rPr lang="en-US" sz="900" b="1" i="0" u="none" strike="noStrike" baseline="0">
              <a:solidFill>
                <a:schemeClr val="accent1">
                  <a:lumMod val="20000"/>
                  <a:lumOff val="80000"/>
                </a:schemeClr>
              </a:solidFill>
              <a:latin typeface="+mn-lt"/>
              <a:cs typeface="Arial"/>
            </a:rPr>
            <a:t>On this sheet:</a:t>
          </a:r>
        </a:p>
        <a:p>
          <a:pPr algn="just" rtl="0">
            <a:lnSpc>
              <a:spcPts val="1500"/>
            </a:lnSpc>
            <a:defRPr sz="1000"/>
          </a:pPr>
          <a:r>
            <a:rPr lang="en-US" sz="1100" b="1" i="0" u="none" strike="noStrike" baseline="0">
              <a:solidFill>
                <a:schemeClr val="bg1"/>
              </a:solidFill>
              <a:latin typeface="+mn-lt"/>
              <a:cs typeface="Arial"/>
            </a:rPr>
            <a:t>The income statement on this sheet is automatically calculated based on the reporting periods specified on the Setup sheet and the account balances on the TB sheet. No user input is required on this sheet but you can customize the line items included on the income statement by adding the appropriate reporting classes to the TB sheet, entering the appropriate classes in column A and copying the formulas from one of the existing rows.</a:t>
          </a:r>
        </a:p>
      </xdr:txBody>
    </xdr:sp>
    <xdr:clientData fLocksWithSheet="0" fPrintsWithSheet="0"/>
  </xdr:oneCellAnchor>
</xdr:wsDr>
</file>

<file path=xl/drawings/drawing7.xml><?xml version="1.0" encoding="utf-8"?>
<xdr:wsDr xmlns:xdr="http://schemas.openxmlformats.org/drawingml/2006/spreadsheetDrawing" xmlns:a="http://schemas.openxmlformats.org/drawingml/2006/main">
  <xdr:oneCellAnchor>
    <xdr:from>
      <xdr:col>1</xdr:col>
      <xdr:colOff>2294021</xdr:colOff>
      <xdr:row>11</xdr:row>
      <xdr:rowOff>64314</xdr:rowOff>
    </xdr:from>
    <xdr:ext cx="5719010" cy="1692982"/>
    <xdr:sp macro="" textlink="">
      <xdr:nvSpPr>
        <xdr:cNvPr id="4" name="Rectangle 17">
          <a:extLst>
            <a:ext uri="{FF2B5EF4-FFF2-40B4-BE49-F238E27FC236}">
              <a16:creationId xmlns:a16="http://schemas.microsoft.com/office/drawing/2014/main" id="{54222F67-2948-405B-953B-D222F5E519FB}"/>
            </a:ext>
          </a:extLst>
        </xdr:cNvPr>
        <xdr:cNvSpPr>
          <a:spLocks noChangeArrowheads="1"/>
        </xdr:cNvSpPr>
      </xdr:nvSpPr>
      <xdr:spPr bwMode="auto">
        <a:xfrm>
          <a:off x="3031958" y="2302188"/>
          <a:ext cx="5719010" cy="1692982"/>
        </a:xfrm>
        <a:prstGeom prst="rect">
          <a:avLst/>
        </a:prstGeom>
        <a:solidFill>
          <a:schemeClr val="accent1">
            <a:lumMod val="50000"/>
          </a:schemeClr>
        </a:solidFill>
        <a:ln w="9525">
          <a:noFill/>
          <a:miter lim="800000"/>
          <a:headEnd/>
          <a:tailEnd/>
        </a:ln>
        <a:effectLst>
          <a:outerShdw blurRad="50800" dist="38100" dir="2700000" algn="tl" rotWithShape="0">
            <a:prstClr val="black">
              <a:alpha val="40000"/>
            </a:prstClr>
          </a:outerShdw>
        </a:effectLst>
      </xdr:spPr>
      <xdr:txBody>
        <a:bodyPr vertOverflow="clip" wrap="square" lIns="180000" tIns="180000" rIns="180000" bIns="180000" anchor="ctr" anchorCtr="0" upright="1">
          <a:spAutoFit/>
        </a:bodyPr>
        <a:lstStyle/>
        <a:p>
          <a:pPr algn="ctr" rtl="0">
            <a:lnSpc>
              <a:spcPts val="1500"/>
            </a:lnSpc>
            <a:defRPr sz="1000"/>
          </a:pPr>
          <a:r>
            <a:rPr lang="en-US" sz="900" b="1" i="0" u="none" strike="noStrike" baseline="0">
              <a:solidFill>
                <a:schemeClr val="accent1">
                  <a:lumMod val="20000"/>
                  <a:lumOff val="80000"/>
                </a:schemeClr>
              </a:solidFill>
              <a:latin typeface="+mn-lt"/>
              <a:cs typeface="Arial"/>
            </a:rPr>
            <a:t>On this sheet:</a:t>
          </a:r>
        </a:p>
        <a:p>
          <a:pPr algn="just" rtl="0">
            <a:lnSpc>
              <a:spcPts val="1500"/>
            </a:lnSpc>
            <a:defRPr sz="1000"/>
          </a:pPr>
          <a:r>
            <a:rPr lang="en-US" sz="1100" b="1" i="0" u="none" strike="noStrike" baseline="0">
              <a:solidFill>
                <a:schemeClr val="bg1"/>
              </a:solidFill>
              <a:latin typeface="+mn-lt"/>
              <a:cs typeface="Arial"/>
            </a:rPr>
            <a:t>The cash flow statement on this sheet is automatically calculated based on the reporting periods specified on the Setup sheet and the account balances on the TB sheet. No user input is required on this sheet but you can customize the line items included on the cash flow statement by adding the appropriate reporting classes to the TB sheet, entering the appropriate classes in column A and copying the formulas from one of the existing rows.</a:t>
          </a:r>
        </a:p>
      </xdr:txBody>
    </xdr:sp>
    <xdr:clientData fLocksWithSheet="0" fPrintsWithSheet="0"/>
  </xdr:oneCellAnchor>
</xdr:wsDr>
</file>

<file path=xl/drawings/drawing8.xml><?xml version="1.0" encoding="utf-8"?>
<xdr:wsDr xmlns:xdr="http://schemas.openxmlformats.org/drawingml/2006/spreadsheetDrawing" xmlns:a="http://schemas.openxmlformats.org/drawingml/2006/main">
  <xdr:oneCellAnchor>
    <xdr:from>
      <xdr:col>1</xdr:col>
      <xdr:colOff>1884950</xdr:colOff>
      <xdr:row>12</xdr:row>
      <xdr:rowOff>192649</xdr:rowOff>
    </xdr:from>
    <xdr:ext cx="5638797" cy="1692982"/>
    <xdr:sp macro="" textlink="">
      <xdr:nvSpPr>
        <xdr:cNvPr id="4" name="Rectangle 17">
          <a:extLst>
            <a:ext uri="{FF2B5EF4-FFF2-40B4-BE49-F238E27FC236}">
              <a16:creationId xmlns:a16="http://schemas.microsoft.com/office/drawing/2014/main" id="{C9E5FE06-A63E-4864-8732-E09B94478087}"/>
            </a:ext>
          </a:extLst>
        </xdr:cNvPr>
        <xdr:cNvSpPr>
          <a:spLocks noChangeArrowheads="1"/>
        </xdr:cNvSpPr>
      </xdr:nvSpPr>
      <xdr:spPr bwMode="auto">
        <a:xfrm>
          <a:off x="2622887" y="2631049"/>
          <a:ext cx="5638797" cy="1692982"/>
        </a:xfrm>
        <a:prstGeom prst="rect">
          <a:avLst/>
        </a:prstGeom>
        <a:solidFill>
          <a:schemeClr val="accent1">
            <a:lumMod val="50000"/>
          </a:schemeClr>
        </a:solidFill>
        <a:ln w="9525">
          <a:noFill/>
          <a:miter lim="800000"/>
          <a:headEnd/>
          <a:tailEnd/>
        </a:ln>
        <a:effectLst>
          <a:outerShdw blurRad="50800" dist="38100" dir="2700000" algn="tl" rotWithShape="0">
            <a:prstClr val="black">
              <a:alpha val="40000"/>
            </a:prstClr>
          </a:outerShdw>
        </a:effectLst>
      </xdr:spPr>
      <xdr:txBody>
        <a:bodyPr vertOverflow="clip" wrap="square" lIns="180000" tIns="180000" rIns="180000" bIns="180000" anchor="ctr" anchorCtr="0" upright="1">
          <a:spAutoFit/>
        </a:bodyPr>
        <a:lstStyle/>
        <a:p>
          <a:pPr algn="ctr" rtl="0">
            <a:lnSpc>
              <a:spcPts val="1500"/>
            </a:lnSpc>
            <a:defRPr sz="1000"/>
          </a:pPr>
          <a:r>
            <a:rPr lang="en-US" sz="900" b="1" i="0" u="none" strike="noStrike" baseline="0">
              <a:solidFill>
                <a:schemeClr val="accent1">
                  <a:lumMod val="20000"/>
                  <a:lumOff val="80000"/>
                </a:schemeClr>
              </a:solidFill>
              <a:latin typeface="+mn-lt"/>
              <a:cs typeface="Arial"/>
            </a:rPr>
            <a:t>On this sheet:</a:t>
          </a:r>
        </a:p>
        <a:p>
          <a:pPr algn="just" rtl="0">
            <a:lnSpc>
              <a:spcPts val="1500"/>
            </a:lnSpc>
            <a:defRPr sz="1000"/>
          </a:pPr>
          <a:r>
            <a:rPr lang="en-US" sz="1100" b="1" i="0" u="none" strike="noStrike" baseline="0">
              <a:solidFill>
                <a:schemeClr val="bg1"/>
              </a:solidFill>
              <a:latin typeface="+mn-lt"/>
              <a:cs typeface="Arial"/>
            </a:rPr>
            <a:t>The balance sheet on this sheet is automatically calculated based on the reporting periods specified on the Setup sheet and the account balances on the TB sheet. No user input is required on this sheet but you can customise the line items that are included on the balance sheet by adding the appropriate reporting classes to the TB sheet, entering the appropriate classes in column A and copying the formulas from one of the existing rows.</a:t>
          </a:r>
        </a:p>
      </xdr:txBody>
    </xdr:sp>
    <xdr:clientData fLocksWithSheet="0" fPrintsWithSheet="0"/>
  </xdr:oneCellAnchor>
</xdr:wsDr>
</file>

<file path=xl/drawings/drawing9.xml><?xml version="1.0" encoding="utf-8"?>
<xdr:wsDr xmlns:xdr="http://schemas.openxmlformats.org/drawingml/2006/spreadsheetDrawing" xmlns:a="http://schemas.openxmlformats.org/drawingml/2006/main">
  <xdr:twoCellAnchor>
    <xdr:from>
      <xdr:col>1</xdr:col>
      <xdr:colOff>20780</xdr:colOff>
      <xdr:row>5</xdr:row>
      <xdr:rowOff>23503</xdr:rowOff>
    </xdr:from>
    <xdr:to>
      <xdr:col>3</xdr:col>
      <xdr:colOff>1129980</xdr:colOff>
      <xdr:row>12</xdr:row>
      <xdr:rowOff>242394</xdr:rowOff>
    </xdr:to>
    <xdr:graphicFrame macro="">
      <xdr:nvGraphicFramePr>
        <xdr:cNvPr id="3" name="Chart 1">
          <a:extLst>
            <a:ext uri="{FF2B5EF4-FFF2-40B4-BE49-F238E27FC236}">
              <a16:creationId xmlns:a16="http://schemas.microsoft.com/office/drawing/2014/main" id="{73624733-2F44-47E2-9F48-E41C5E481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67935</xdr:colOff>
      <xdr:row>5</xdr:row>
      <xdr:rowOff>23504</xdr:rowOff>
    </xdr:from>
    <xdr:to>
      <xdr:col>5</xdr:col>
      <xdr:colOff>1152735</xdr:colOff>
      <xdr:row>12</xdr:row>
      <xdr:rowOff>253171</xdr:rowOff>
    </xdr:to>
    <xdr:graphicFrame macro="">
      <xdr:nvGraphicFramePr>
        <xdr:cNvPr id="4" name="Chart 3">
          <a:extLst>
            <a:ext uri="{FF2B5EF4-FFF2-40B4-BE49-F238E27FC236}">
              <a16:creationId xmlns:a16="http://schemas.microsoft.com/office/drawing/2014/main" id="{B901C6FE-B854-4E18-8EFE-C8A87831E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951784</xdr:colOff>
      <xdr:row>8</xdr:row>
      <xdr:rowOff>76851</xdr:rowOff>
    </xdr:from>
    <xdr:to>
      <xdr:col>5</xdr:col>
      <xdr:colOff>276758</xdr:colOff>
      <xdr:row>10</xdr:row>
      <xdr:rowOff>460</xdr:rowOff>
    </xdr:to>
    <xdr:sp macro="" textlink="$C$65">
      <xdr:nvSpPr>
        <xdr:cNvPr id="5" name="TextBox 4">
          <a:extLst>
            <a:ext uri="{FF2B5EF4-FFF2-40B4-BE49-F238E27FC236}">
              <a16:creationId xmlns:a16="http://schemas.microsoft.com/office/drawing/2014/main" id="{C9FE2F4D-548A-41D7-8284-45786071AE8D}"/>
            </a:ext>
          </a:extLst>
        </xdr:cNvPr>
        <xdr:cNvSpPr txBox="1"/>
      </xdr:nvSpPr>
      <xdr:spPr>
        <a:xfrm>
          <a:off x="6175717" y="2447518"/>
          <a:ext cx="544174" cy="51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9F43E1D-FAAD-4472-A741-AEBFC743B5D3}" type="TxLink">
            <a:rPr lang="en-US" sz="2400" b="0" i="0" u="none" strike="noStrike">
              <a:solidFill>
                <a:srgbClr val="000000"/>
              </a:solidFill>
              <a:latin typeface="+mn-lt"/>
              <a:cs typeface="Arial"/>
            </a:rPr>
            <a:pPr algn="ctr"/>
            <a:t>58</a:t>
          </a:fld>
          <a:endParaRPr lang="en-ZA" sz="8800">
            <a:latin typeface="+mn-lt"/>
          </a:endParaRPr>
        </a:p>
      </xdr:txBody>
    </xdr:sp>
    <xdr:clientData/>
  </xdr:twoCellAnchor>
  <xdr:twoCellAnchor>
    <xdr:from>
      <xdr:col>4</xdr:col>
      <xdr:colOff>73768</xdr:colOff>
      <xdr:row>13</xdr:row>
      <xdr:rowOff>28800</xdr:rowOff>
    </xdr:from>
    <xdr:to>
      <xdr:col>5</xdr:col>
      <xdr:colOff>1158568</xdr:colOff>
      <xdr:row>20</xdr:row>
      <xdr:rowOff>258466</xdr:rowOff>
    </xdr:to>
    <xdr:graphicFrame macro="">
      <xdr:nvGraphicFramePr>
        <xdr:cNvPr id="8" name="Chart 4">
          <a:extLst>
            <a:ext uri="{FF2B5EF4-FFF2-40B4-BE49-F238E27FC236}">
              <a16:creationId xmlns:a16="http://schemas.microsoft.com/office/drawing/2014/main" id="{47AC956D-C9F9-4B50-8D65-6470D054C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975660</xdr:colOff>
      <xdr:row>16</xdr:row>
      <xdr:rowOff>84740</xdr:rowOff>
    </xdr:from>
    <xdr:to>
      <xdr:col>5</xdr:col>
      <xdr:colOff>315311</xdr:colOff>
      <xdr:row>18</xdr:row>
      <xdr:rowOff>23627</xdr:rowOff>
    </xdr:to>
    <xdr:sp macro="" textlink="$C$67">
      <xdr:nvSpPr>
        <xdr:cNvPr id="9" name="TextBox 8">
          <a:extLst>
            <a:ext uri="{FF2B5EF4-FFF2-40B4-BE49-F238E27FC236}">
              <a16:creationId xmlns:a16="http://schemas.microsoft.com/office/drawing/2014/main" id="{227D977E-09EB-429B-9330-ED027A1B776F}"/>
            </a:ext>
          </a:extLst>
        </xdr:cNvPr>
        <xdr:cNvSpPr txBox="1"/>
      </xdr:nvSpPr>
      <xdr:spPr>
        <a:xfrm>
          <a:off x="6199593" y="4826073"/>
          <a:ext cx="558851" cy="531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8EDDB7C-F561-4BCB-8002-9FC4E1C6F767}" type="TxLink">
            <a:rPr lang="en-US" sz="2400" b="0" i="0" u="none" strike="noStrike">
              <a:solidFill>
                <a:srgbClr val="000000"/>
              </a:solidFill>
              <a:latin typeface="+mn-lt"/>
              <a:cs typeface="Arial"/>
            </a:rPr>
            <a:pPr algn="ctr"/>
            <a:t>15</a:t>
          </a:fld>
          <a:endParaRPr lang="en-ZA" sz="41300">
            <a:latin typeface="+mn-lt"/>
          </a:endParaRPr>
        </a:p>
      </xdr:txBody>
    </xdr:sp>
    <xdr:clientData/>
  </xdr:twoCellAnchor>
  <xdr:twoCellAnchor>
    <xdr:from>
      <xdr:col>1</xdr:col>
      <xdr:colOff>41562</xdr:colOff>
      <xdr:row>13</xdr:row>
      <xdr:rowOff>28801</xdr:rowOff>
    </xdr:from>
    <xdr:to>
      <xdr:col>3</xdr:col>
      <xdr:colOff>1150762</xdr:colOff>
      <xdr:row>20</xdr:row>
      <xdr:rowOff>247691</xdr:rowOff>
    </xdr:to>
    <xdr:graphicFrame macro="">
      <xdr:nvGraphicFramePr>
        <xdr:cNvPr id="10" name="Chart 2">
          <a:extLst>
            <a:ext uri="{FF2B5EF4-FFF2-40B4-BE49-F238E27FC236}">
              <a16:creationId xmlns:a16="http://schemas.microsoft.com/office/drawing/2014/main" id="{8B96B2DF-6A4B-4F6C-A7E2-B9FAC53BE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34637</xdr:colOff>
      <xdr:row>13</xdr:row>
      <xdr:rowOff>36823</xdr:rowOff>
    </xdr:from>
    <xdr:to>
      <xdr:col>6</xdr:col>
      <xdr:colOff>2338637</xdr:colOff>
      <xdr:row>20</xdr:row>
      <xdr:rowOff>266489</xdr:rowOff>
    </xdr:to>
    <xdr:graphicFrame macro="">
      <xdr:nvGraphicFramePr>
        <xdr:cNvPr id="12" name="Chart 5">
          <a:extLst>
            <a:ext uri="{FF2B5EF4-FFF2-40B4-BE49-F238E27FC236}">
              <a16:creationId xmlns:a16="http://schemas.microsoft.com/office/drawing/2014/main" id="{49412F1C-2C42-44FA-9D1F-381304CF6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922130</xdr:colOff>
      <xdr:row>16</xdr:row>
      <xdr:rowOff>111460</xdr:rowOff>
    </xdr:from>
    <xdr:to>
      <xdr:col>6</xdr:col>
      <xdr:colOff>1479887</xdr:colOff>
      <xdr:row>18</xdr:row>
      <xdr:rowOff>50345</xdr:rowOff>
    </xdr:to>
    <xdr:sp macro="" textlink="$C$69">
      <xdr:nvSpPr>
        <xdr:cNvPr id="13" name="TextBox 12">
          <a:extLst>
            <a:ext uri="{FF2B5EF4-FFF2-40B4-BE49-F238E27FC236}">
              <a16:creationId xmlns:a16="http://schemas.microsoft.com/office/drawing/2014/main" id="{A573D4D5-FC61-4381-BF62-864C8DD085F7}"/>
            </a:ext>
          </a:extLst>
        </xdr:cNvPr>
        <xdr:cNvSpPr txBox="1"/>
      </xdr:nvSpPr>
      <xdr:spPr>
        <a:xfrm>
          <a:off x="8576766" y="4877424"/>
          <a:ext cx="557757" cy="53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CED0BB45-FF36-4D5E-8D01-450322157D79}" type="TxLink">
            <a:rPr lang="en-US" sz="2400" b="0" i="0" u="none" strike="noStrike">
              <a:solidFill>
                <a:srgbClr val="000000"/>
              </a:solidFill>
              <a:latin typeface="Century Gothic"/>
              <a:cs typeface="Arial"/>
            </a:rPr>
            <a:pPr algn="ctr"/>
            <a:t>9</a:t>
          </a:fld>
          <a:endParaRPr lang="en-ZA" sz="71400">
            <a:latin typeface="+mn-lt"/>
          </a:endParaRPr>
        </a:p>
      </xdr:txBody>
    </xdr:sp>
    <xdr:clientData/>
  </xdr:twoCellAnchor>
  <xdr:twoCellAnchor>
    <xdr:from>
      <xdr:col>7</xdr:col>
      <xdr:colOff>30991</xdr:colOff>
      <xdr:row>13</xdr:row>
      <xdr:rowOff>36824</xdr:rowOff>
    </xdr:from>
    <xdr:to>
      <xdr:col>10</xdr:col>
      <xdr:colOff>794057</xdr:colOff>
      <xdr:row>20</xdr:row>
      <xdr:rowOff>266490</xdr:rowOff>
    </xdr:to>
    <xdr:graphicFrame macro="">
      <xdr:nvGraphicFramePr>
        <xdr:cNvPr id="14" name="Chart 6">
          <a:extLst>
            <a:ext uri="{FF2B5EF4-FFF2-40B4-BE49-F238E27FC236}">
              <a16:creationId xmlns:a16="http://schemas.microsoft.com/office/drawing/2014/main" id="{50FB46F1-8862-4EA3-A863-981C86A00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676761</xdr:colOff>
      <xdr:row>16</xdr:row>
      <xdr:rowOff>98101</xdr:rowOff>
    </xdr:from>
    <xdr:to>
      <xdr:col>9</xdr:col>
      <xdr:colOff>225688</xdr:colOff>
      <xdr:row>18</xdr:row>
      <xdr:rowOff>36986</xdr:rowOff>
    </xdr:to>
    <xdr:sp macro="" textlink="$C$71">
      <xdr:nvSpPr>
        <xdr:cNvPr id="15" name="TextBox 14">
          <a:extLst>
            <a:ext uri="{FF2B5EF4-FFF2-40B4-BE49-F238E27FC236}">
              <a16:creationId xmlns:a16="http://schemas.microsoft.com/office/drawing/2014/main" id="{23C65CA6-D6CF-4598-A883-AE36D8E67964}"/>
            </a:ext>
          </a:extLst>
        </xdr:cNvPr>
        <xdr:cNvSpPr txBox="1"/>
      </xdr:nvSpPr>
      <xdr:spPr>
        <a:xfrm>
          <a:off x="10989161" y="4839434"/>
          <a:ext cx="564927" cy="531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27D75242-5F20-43D4-8F3A-4060A1A10BFE}" type="TxLink">
            <a:rPr lang="en-US" sz="2400" b="0" i="0" u="none" strike="noStrike">
              <a:solidFill>
                <a:srgbClr val="000000"/>
              </a:solidFill>
              <a:latin typeface="Century Gothic"/>
              <a:cs typeface="Arial"/>
            </a:rPr>
            <a:pPr algn="ctr"/>
            <a:t>20</a:t>
          </a:fld>
          <a:endParaRPr lang="en-ZA" sz="71400">
            <a:latin typeface="+mn-lt"/>
          </a:endParaRPr>
        </a:p>
      </xdr:txBody>
    </xdr:sp>
    <xdr:clientData/>
  </xdr:twoCellAnchor>
  <xdr:twoCellAnchor>
    <xdr:from>
      <xdr:col>5</xdr:col>
      <xdr:colOff>50680</xdr:colOff>
      <xdr:row>24</xdr:row>
      <xdr:rowOff>72637</xdr:rowOff>
    </xdr:from>
    <xdr:to>
      <xdr:col>10</xdr:col>
      <xdr:colOff>770465</xdr:colOff>
      <xdr:row>29</xdr:row>
      <xdr:rowOff>144827</xdr:rowOff>
    </xdr:to>
    <xdr:graphicFrame macro="">
      <xdr:nvGraphicFramePr>
        <xdr:cNvPr id="18" name="Chart 7">
          <a:extLst>
            <a:ext uri="{FF2B5EF4-FFF2-40B4-BE49-F238E27FC236}">
              <a16:creationId xmlns:a16="http://schemas.microsoft.com/office/drawing/2014/main" id="{1E0F545D-CF7E-4B82-A24E-384D13A3F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44156</xdr:colOff>
      <xdr:row>30</xdr:row>
      <xdr:rowOff>41442</xdr:rowOff>
    </xdr:from>
    <xdr:to>
      <xdr:col>3</xdr:col>
      <xdr:colOff>1117356</xdr:colOff>
      <xdr:row>37</xdr:row>
      <xdr:rowOff>199109</xdr:rowOff>
    </xdr:to>
    <xdr:graphicFrame macro="">
      <xdr:nvGraphicFramePr>
        <xdr:cNvPr id="19" name="Chart 8">
          <a:extLst>
            <a:ext uri="{FF2B5EF4-FFF2-40B4-BE49-F238E27FC236}">
              <a16:creationId xmlns:a16="http://schemas.microsoft.com/office/drawing/2014/main" id="{C0DC0372-DF71-4DF2-A27F-79B27B45B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46466</xdr:colOff>
      <xdr:row>38</xdr:row>
      <xdr:rowOff>41444</xdr:rowOff>
    </xdr:from>
    <xdr:to>
      <xdr:col>5</xdr:col>
      <xdr:colOff>1131266</xdr:colOff>
      <xdr:row>45</xdr:row>
      <xdr:rowOff>271111</xdr:rowOff>
    </xdr:to>
    <xdr:graphicFrame macro="">
      <xdr:nvGraphicFramePr>
        <xdr:cNvPr id="27" name="Chart 9">
          <a:extLst>
            <a:ext uri="{FF2B5EF4-FFF2-40B4-BE49-F238E27FC236}">
              <a16:creationId xmlns:a16="http://schemas.microsoft.com/office/drawing/2014/main" id="{997D1A60-5582-4E0E-8901-9CEAC7EA1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711767</xdr:colOff>
      <xdr:row>41</xdr:row>
      <xdr:rowOff>152903</xdr:rowOff>
    </xdr:from>
    <xdr:to>
      <xdr:col>5</xdr:col>
      <xdr:colOff>464567</xdr:colOff>
      <xdr:row>43</xdr:row>
      <xdr:rowOff>100237</xdr:rowOff>
    </xdr:to>
    <xdr:sp macro="" textlink="$C$106">
      <xdr:nvSpPr>
        <xdr:cNvPr id="28" name="TextBox 27">
          <a:extLst>
            <a:ext uri="{FF2B5EF4-FFF2-40B4-BE49-F238E27FC236}">
              <a16:creationId xmlns:a16="http://schemas.microsoft.com/office/drawing/2014/main" id="{42E256FD-A432-4D02-B802-6C828EAA7A8D}"/>
            </a:ext>
          </a:extLst>
        </xdr:cNvPr>
        <xdr:cNvSpPr txBox="1"/>
      </xdr:nvSpPr>
      <xdr:spPr>
        <a:xfrm>
          <a:off x="5935700" y="12302570"/>
          <a:ext cx="97200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7325DD5-B865-4BCA-8E0B-F06483331672}" type="TxLink">
            <a:rPr lang="en-US" sz="1800" b="0" i="0" u="none" strike="noStrike">
              <a:solidFill>
                <a:srgbClr val="000000"/>
              </a:solidFill>
              <a:latin typeface="Century Gothic"/>
              <a:cs typeface="Arial"/>
            </a:rPr>
            <a:pPr algn="ctr"/>
            <a:t>1,4</a:t>
          </a:fld>
          <a:endParaRPr lang="en-ZA" sz="148100">
            <a:latin typeface="+mn-lt"/>
          </a:endParaRPr>
        </a:p>
      </xdr:txBody>
    </xdr:sp>
    <xdr:clientData/>
  </xdr:twoCellAnchor>
  <xdr:twoCellAnchor>
    <xdr:from>
      <xdr:col>6</xdr:col>
      <xdr:colOff>28597</xdr:colOff>
      <xdr:row>38</xdr:row>
      <xdr:rowOff>32974</xdr:rowOff>
    </xdr:from>
    <xdr:to>
      <xdr:col>6</xdr:col>
      <xdr:colOff>2332597</xdr:colOff>
      <xdr:row>45</xdr:row>
      <xdr:rowOff>262641</xdr:rowOff>
    </xdr:to>
    <xdr:graphicFrame macro="">
      <xdr:nvGraphicFramePr>
        <xdr:cNvPr id="29" name="Chart 10">
          <a:extLst>
            <a:ext uri="{FF2B5EF4-FFF2-40B4-BE49-F238E27FC236}">
              <a16:creationId xmlns:a16="http://schemas.microsoft.com/office/drawing/2014/main" id="{18D80094-D9BF-46AC-8653-1601EEB74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696280</xdr:colOff>
      <xdr:row>41</xdr:row>
      <xdr:rowOff>128391</xdr:rowOff>
    </xdr:from>
    <xdr:to>
      <xdr:col>6</xdr:col>
      <xdr:colOff>1668280</xdr:colOff>
      <xdr:row>43</xdr:row>
      <xdr:rowOff>75725</xdr:rowOff>
    </xdr:to>
    <xdr:sp macro="" textlink="$C$108">
      <xdr:nvSpPr>
        <xdr:cNvPr id="30" name="TextBox 29">
          <a:extLst>
            <a:ext uri="{FF2B5EF4-FFF2-40B4-BE49-F238E27FC236}">
              <a16:creationId xmlns:a16="http://schemas.microsoft.com/office/drawing/2014/main" id="{1D1F1FC4-0A43-4D08-9602-D689EF42AB8D}"/>
            </a:ext>
          </a:extLst>
        </xdr:cNvPr>
        <xdr:cNvSpPr txBox="1"/>
      </xdr:nvSpPr>
      <xdr:spPr>
        <a:xfrm>
          <a:off x="8358613" y="12278058"/>
          <a:ext cx="97200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64A354F-4F80-4670-926D-C1BFE8C595D8}" type="TxLink">
            <a:rPr lang="en-US" sz="1800" b="0" i="0" u="none" strike="noStrike">
              <a:solidFill>
                <a:srgbClr val="000000"/>
              </a:solidFill>
              <a:latin typeface="Century Gothic"/>
              <a:cs typeface="Arial"/>
            </a:rPr>
            <a:pPr algn="ctr"/>
            <a:t>0,4</a:t>
          </a:fld>
          <a:endParaRPr lang="en-ZA" sz="148100">
            <a:latin typeface="+mn-lt"/>
          </a:endParaRPr>
        </a:p>
      </xdr:txBody>
    </xdr:sp>
    <xdr:clientData/>
  </xdr:twoCellAnchor>
  <xdr:twoCellAnchor>
    <xdr:from>
      <xdr:col>7</xdr:col>
      <xdr:colOff>177275</xdr:colOff>
      <xdr:row>38</xdr:row>
      <xdr:rowOff>32974</xdr:rowOff>
    </xdr:from>
    <xdr:to>
      <xdr:col>10</xdr:col>
      <xdr:colOff>940341</xdr:colOff>
      <xdr:row>45</xdr:row>
      <xdr:rowOff>262641</xdr:rowOff>
    </xdr:to>
    <xdr:graphicFrame macro="">
      <xdr:nvGraphicFramePr>
        <xdr:cNvPr id="31" name="Chart 11">
          <a:extLst>
            <a:ext uri="{FF2B5EF4-FFF2-40B4-BE49-F238E27FC236}">
              <a16:creationId xmlns:a16="http://schemas.microsoft.com/office/drawing/2014/main" id="{4A674204-7AAA-4F6A-81A3-DEA5ADB81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578401</xdr:colOff>
      <xdr:row>41</xdr:row>
      <xdr:rowOff>120370</xdr:rowOff>
    </xdr:from>
    <xdr:to>
      <xdr:col>10</xdr:col>
      <xdr:colOff>271934</xdr:colOff>
      <xdr:row>43</xdr:row>
      <xdr:rowOff>67704</xdr:rowOff>
    </xdr:to>
    <xdr:sp macro="" textlink="$C$110">
      <xdr:nvSpPr>
        <xdr:cNvPr id="32" name="TextBox 31">
          <a:extLst>
            <a:ext uri="{FF2B5EF4-FFF2-40B4-BE49-F238E27FC236}">
              <a16:creationId xmlns:a16="http://schemas.microsoft.com/office/drawing/2014/main" id="{EFF0E4C5-6C8D-4773-9CC0-6678F6769C8A}"/>
            </a:ext>
          </a:extLst>
        </xdr:cNvPr>
        <xdr:cNvSpPr txBox="1"/>
      </xdr:nvSpPr>
      <xdr:spPr>
        <a:xfrm>
          <a:off x="10890801" y="12270037"/>
          <a:ext cx="97200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52695DD-366F-4407-AE01-74376626413F}" type="TxLink">
            <a:rPr lang="en-US" sz="1600" b="0" i="0" u="none" strike="noStrike">
              <a:solidFill>
                <a:srgbClr val="000000"/>
              </a:solidFill>
              <a:latin typeface="Century Gothic"/>
              <a:cs typeface="Arial"/>
            </a:rPr>
            <a:pPr algn="ctr"/>
            <a:t>16</a:t>
          </a:fld>
          <a:endParaRPr lang="en-ZA" sz="123400">
            <a:latin typeface="+mn-lt"/>
          </a:endParaRPr>
        </a:p>
      </xdr:txBody>
    </xdr:sp>
    <xdr:clientData/>
  </xdr:twoCellAnchor>
  <xdr:oneCellAnchor>
    <xdr:from>
      <xdr:col>2</xdr:col>
      <xdr:colOff>1019362</xdr:colOff>
      <xdr:row>11</xdr:row>
      <xdr:rowOff>193608</xdr:rowOff>
    </xdr:from>
    <xdr:ext cx="5430252" cy="1500622"/>
    <xdr:sp macro="" textlink="">
      <xdr:nvSpPr>
        <xdr:cNvPr id="33" name="Rectangle 17">
          <a:extLst>
            <a:ext uri="{FF2B5EF4-FFF2-40B4-BE49-F238E27FC236}">
              <a16:creationId xmlns:a16="http://schemas.microsoft.com/office/drawing/2014/main" id="{72B3A820-FDC7-4E62-87BA-3AEEB55D7500}"/>
            </a:ext>
          </a:extLst>
        </xdr:cNvPr>
        <xdr:cNvSpPr>
          <a:spLocks noChangeArrowheads="1"/>
        </xdr:cNvSpPr>
      </xdr:nvSpPr>
      <xdr:spPr bwMode="auto">
        <a:xfrm>
          <a:off x="3804895" y="3453275"/>
          <a:ext cx="5430252" cy="1500622"/>
        </a:xfrm>
        <a:prstGeom prst="rect">
          <a:avLst/>
        </a:prstGeom>
        <a:solidFill>
          <a:schemeClr val="accent1">
            <a:lumMod val="50000"/>
          </a:schemeClr>
        </a:solidFill>
        <a:ln w="9525">
          <a:noFill/>
          <a:miter lim="800000"/>
          <a:headEnd/>
          <a:tailEnd/>
        </a:ln>
        <a:effectLst>
          <a:outerShdw blurRad="50800" dist="38100" dir="2700000" algn="tl" rotWithShape="0">
            <a:prstClr val="black">
              <a:alpha val="40000"/>
            </a:prstClr>
          </a:outerShdw>
        </a:effectLst>
      </xdr:spPr>
      <xdr:txBody>
        <a:bodyPr vertOverflow="clip" wrap="square" lIns="180000" tIns="180000" rIns="180000" bIns="180000" anchor="ctr" anchorCtr="0" upright="1">
          <a:spAutoFit/>
        </a:bodyPr>
        <a:lstStyle/>
        <a:p>
          <a:pPr algn="ctr" rtl="0">
            <a:lnSpc>
              <a:spcPts val="1500"/>
            </a:lnSpc>
            <a:defRPr sz="1000"/>
          </a:pPr>
          <a:r>
            <a:rPr lang="en-US" sz="900" b="1" i="0" u="none" strike="noStrike" baseline="0">
              <a:solidFill>
                <a:schemeClr val="accent1">
                  <a:lumMod val="20000"/>
                  <a:lumOff val="80000"/>
                </a:schemeClr>
              </a:solidFill>
              <a:latin typeface="+mn-lt"/>
              <a:cs typeface="Arial"/>
            </a:rPr>
            <a:t>On this sheet:</a:t>
          </a:r>
        </a:p>
        <a:p>
          <a:pPr algn="just" rtl="0">
            <a:lnSpc>
              <a:spcPts val="1500"/>
            </a:lnSpc>
            <a:defRPr sz="1000"/>
          </a:pPr>
          <a:r>
            <a:rPr lang="en-US" sz="1100" b="1" i="0" u="none" strike="noStrike" baseline="0">
              <a:solidFill>
                <a:schemeClr val="bg1"/>
              </a:solidFill>
              <a:latin typeface="+mn-lt"/>
              <a:cs typeface="Arial"/>
            </a:rPr>
            <a:t>The financial dashboard on this sheet is updated automatically based on the income statement, cash flow statement and balance sheet amounts on the other sheets. The flexible design of this unique financial dashboard also makes it relatively easy to replace calculations and charts which may not be applicable to your business.</a:t>
          </a:r>
        </a:p>
      </xdr:txBody>
    </xdr:sp>
    <xdr:clientData fLocksWithSheet="0" fPrintsWithSheet="0"/>
  </xdr:oneCellAnchor>
</xdr:wsDr>
</file>

<file path=xl/drawings/drawing10.xml><?xml version="1.0" encoding="utf-8"?>
<xdr:wsDr xmlns:xdr="http://schemas.openxmlformats.org/drawingml/2006/spreadsheetDrawing" xmlns:a="http://schemas.openxmlformats.org/drawingml/2006/main">
  <xdr:oneCellAnchor>
    <xdr:from>
      <xdr:col>1</xdr:col>
      <xdr:colOff>1138989</xdr:colOff>
      <xdr:row>11</xdr:row>
      <xdr:rowOff>48271</xdr:rowOff>
    </xdr:from>
    <xdr:ext cx="7700211" cy="1692982"/>
    <xdr:sp macro="" textlink="">
      <xdr:nvSpPr>
        <xdr:cNvPr id="4" name="Rectangle 17">
          <a:extLst>
            <a:ext uri="{FF2B5EF4-FFF2-40B4-BE49-F238E27FC236}">
              <a16:creationId xmlns:a16="http://schemas.microsoft.com/office/drawing/2014/main" id="{FA719613-EA24-4970-A4CD-391E323F0154}"/>
            </a:ext>
          </a:extLst>
        </xdr:cNvPr>
        <xdr:cNvSpPr>
          <a:spLocks noChangeArrowheads="1"/>
        </xdr:cNvSpPr>
      </xdr:nvSpPr>
      <xdr:spPr bwMode="auto">
        <a:xfrm>
          <a:off x="2005263" y="2286145"/>
          <a:ext cx="7700211" cy="1692982"/>
        </a:xfrm>
        <a:prstGeom prst="rect">
          <a:avLst/>
        </a:prstGeom>
        <a:solidFill>
          <a:schemeClr val="accent1">
            <a:lumMod val="50000"/>
          </a:schemeClr>
        </a:solidFill>
        <a:ln w="9525">
          <a:noFill/>
          <a:miter lim="800000"/>
          <a:headEnd/>
          <a:tailEnd/>
        </a:ln>
        <a:effectLst>
          <a:outerShdw blurRad="50800" dist="38100" dir="2700000" algn="tl" rotWithShape="0">
            <a:prstClr val="black">
              <a:alpha val="40000"/>
            </a:prstClr>
          </a:outerShdw>
        </a:effectLst>
      </xdr:spPr>
      <xdr:txBody>
        <a:bodyPr vertOverflow="clip" wrap="square" lIns="180000" tIns="180000" rIns="180000" bIns="180000" anchor="ctr" anchorCtr="0" upright="1">
          <a:spAutoFit/>
        </a:bodyPr>
        <a:lstStyle/>
        <a:p>
          <a:pPr algn="ctr" rtl="0">
            <a:lnSpc>
              <a:spcPts val="1500"/>
            </a:lnSpc>
            <a:defRPr sz="1000"/>
          </a:pPr>
          <a:r>
            <a:rPr lang="en-US" sz="900" b="1" i="0" u="none" strike="noStrike" baseline="0">
              <a:solidFill>
                <a:schemeClr val="accent1">
                  <a:lumMod val="20000"/>
                  <a:lumOff val="80000"/>
                </a:schemeClr>
              </a:solidFill>
              <a:latin typeface="+mn-lt"/>
              <a:cs typeface="Arial"/>
            </a:rPr>
            <a:t>On this sheet:</a:t>
          </a:r>
        </a:p>
        <a:p>
          <a:pPr algn="just" rtl="0">
            <a:lnSpc>
              <a:spcPts val="1500"/>
            </a:lnSpc>
            <a:defRPr sz="1000"/>
          </a:pPr>
          <a:r>
            <a:rPr lang="en-US" sz="1100" b="1" i="0" u="none" strike="noStrike" baseline="0">
              <a:solidFill>
                <a:schemeClr val="bg1"/>
              </a:solidFill>
              <a:latin typeface="+mn-lt"/>
              <a:cs typeface="Arial"/>
            </a:rPr>
            <a:t>The formulas in column D on this worksheet enable users to check whether the account numbers which have been pasted into column A (from another Excel workbook or export file) are consistent with the account numbers on the TB sheet. An error message will be displayed in column D if the account number sequence which has been pasted into column A on this sheet is not consistent with the account number sequence on the TB sheet. You can then amend the account numbers until no error messages are reflected before pasting the trial balance amounts into the appropriate annual period on the TB sheet.</a:t>
          </a:r>
        </a:p>
      </xdr:txBody>
    </xdr:sp>
    <xdr:clientData fLocksWithSheet="0" fPrintsWithSheet="0"/>
  </xdr:oneCellAnchor>
</xdr:wsDr>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excel-skills.com.au/"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8" x14ac:dyDescent="0.25"/>
  <cols>
    <col min="1" max="14" width="15.6640625" style="10" customWidth="1"/>
    <col min="15" max="16384" width="8.88671875" style="10"/>
  </cols>
  <sheetData/>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212"/>
  <sheetViews>
    <sheetView zoomScaleNormal="100" workbookViewId="0">
      <pane ySplit="3" topLeftCell="A4" activePane="bottomLeft" state="frozen"/>
      <selection pane="bottomLeft"/>
    </sheetView>
  </sheetViews>
  <sheetFormatPr defaultColWidth="50.77734375" defaultRowHeight="13.2" x14ac:dyDescent="0.25"/>
  <cols>
    <col min="1" max="1" width="109.77734375" style="142" customWidth="1"/>
    <col min="2" max="16384" width="50.77734375" style="137"/>
  </cols>
  <sheetData>
    <row r="1" spans="1:1" ht="15.6" x14ac:dyDescent="0.3">
      <c r="A1" s="143" t="s">
        <v>513</v>
      </c>
    </row>
    <row r="2" spans="1:1" ht="15" customHeight="1" x14ac:dyDescent="0.25">
      <c r="A2" s="139" t="s">
        <v>51</v>
      </c>
    </row>
    <row r="3" spans="1:1" ht="15" customHeight="1" x14ac:dyDescent="0.25">
      <c r="A3" s="269" t="s">
        <v>514</v>
      </c>
    </row>
    <row r="4" spans="1:1" x14ac:dyDescent="0.25">
      <c r="A4" s="140"/>
    </row>
    <row r="5" spans="1:1" ht="66" x14ac:dyDescent="0.25">
      <c r="A5" s="140" t="s">
        <v>125</v>
      </c>
    </row>
    <row r="6" spans="1:1" x14ac:dyDescent="0.25">
      <c r="A6" s="140"/>
    </row>
    <row r="7" spans="1:1" x14ac:dyDescent="0.25">
      <c r="A7" s="140" t="s">
        <v>394</v>
      </c>
    </row>
    <row r="8" spans="1:1" ht="39.6" x14ac:dyDescent="0.25">
      <c r="A8" s="140" t="s">
        <v>483</v>
      </c>
    </row>
    <row r="9" spans="1:1" ht="52.8" x14ac:dyDescent="0.25">
      <c r="A9" s="140" t="s">
        <v>484</v>
      </c>
    </row>
    <row r="10" spans="1:1" ht="39.6" x14ac:dyDescent="0.25">
      <c r="A10" s="140" t="s">
        <v>485</v>
      </c>
    </row>
    <row r="11" spans="1:1" ht="39.6" x14ac:dyDescent="0.25">
      <c r="A11" s="140" t="s">
        <v>435</v>
      </c>
    </row>
    <row r="12" spans="1:1" ht="39.6" x14ac:dyDescent="0.25">
      <c r="A12" s="140" t="s">
        <v>486</v>
      </c>
    </row>
    <row r="13" spans="1:1" ht="39.6" x14ac:dyDescent="0.25">
      <c r="A13" s="140" t="s">
        <v>487</v>
      </c>
    </row>
    <row r="14" spans="1:1" ht="39.6" x14ac:dyDescent="0.25">
      <c r="A14" s="140" t="s">
        <v>488</v>
      </c>
    </row>
    <row r="15" spans="1:1" ht="52.8" x14ac:dyDescent="0.25">
      <c r="A15" s="140" t="s">
        <v>431</v>
      </c>
    </row>
    <row r="16" spans="1:1" x14ac:dyDescent="0.25">
      <c r="A16" s="140"/>
    </row>
    <row r="17" spans="1:1" x14ac:dyDescent="0.25">
      <c r="A17" s="140" t="s">
        <v>395</v>
      </c>
    </row>
    <row r="18" spans="1:1" x14ac:dyDescent="0.25">
      <c r="A18" s="140" t="s">
        <v>396</v>
      </c>
    </row>
    <row r="19" spans="1:1" ht="39.6" x14ac:dyDescent="0.25">
      <c r="A19" s="140" t="s">
        <v>398</v>
      </c>
    </row>
    <row r="20" spans="1:1" ht="52.8" x14ac:dyDescent="0.25">
      <c r="A20" s="140" t="s">
        <v>399</v>
      </c>
    </row>
    <row r="21" spans="1:1" ht="26.4" x14ac:dyDescent="0.25">
      <c r="A21" s="140" t="s">
        <v>432</v>
      </c>
    </row>
    <row r="22" spans="1:1" x14ac:dyDescent="0.25">
      <c r="A22" s="140"/>
    </row>
    <row r="23" spans="1:1" ht="26.4" x14ac:dyDescent="0.25">
      <c r="A23" s="139" t="s">
        <v>397</v>
      </c>
    </row>
    <row r="24" spans="1:1" x14ac:dyDescent="0.25">
      <c r="A24" s="140"/>
    </row>
    <row r="25" spans="1:1" x14ac:dyDescent="0.25">
      <c r="A25" s="138" t="s">
        <v>365</v>
      </c>
    </row>
    <row r="26" spans="1:1" x14ac:dyDescent="0.25">
      <c r="A26" s="140"/>
    </row>
    <row r="27" spans="1:1" ht="39.6" x14ac:dyDescent="0.25">
      <c r="A27" s="140" t="s">
        <v>392</v>
      </c>
    </row>
    <row r="28" spans="1:1" x14ac:dyDescent="0.25">
      <c r="A28" s="140"/>
    </row>
    <row r="29" spans="1:1" ht="26.4" x14ac:dyDescent="0.25">
      <c r="A29" s="140" t="s">
        <v>400</v>
      </c>
    </row>
    <row r="30" spans="1:1" x14ac:dyDescent="0.25">
      <c r="A30" s="140"/>
    </row>
    <row r="31" spans="1:1" ht="39.6" x14ac:dyDescent="0.25">
      <c r="A31" s="140" t="s">
        <v>489</v>
      </c>
    </row>
    <row r="32" spans="1:1" x14ac:dyDescent="0.25">
      <c r="A32" s="140"/>
    </row>
    <row r="33" spans="1:1" ht="26.4" x14ac:dyDescent="0.25">
      <c r="A33" s="140" t="s">
        <v>401</v>
      </c>
    </row>
    <row r="34" spans="1:1" x14ac:dyDescent="0.25">
      <c r="A34" s="140"/>
    </row>
    <row r="35" spans="1:1" ht="39.6" x14ac:dyDescent="0.25">
      <c r="A35" s="139" t="s">
        <v>490</v>
      </c>
    </row>
    <row r="36" spans="1:1" x14ac:dyDescent="0.25">
      <c r="A36" s="139"/>
    </row>
    <row r="37" spans="1:1" x14ac:dyDescent="0.25">
      <c r="A37" s="138" t="s">
        <v>92</v>
      </c>
    </row>
    <row r="38" spans="1:1" x14ac:dyDescent="0.25">
      <c r="A38" s="140"/>
    </row>
    <row r="39" spans="1:1" ht="39.6" x14ac:dyDescent="0.25">
      <c r="A39" s="140" t="s">
        <v>402</v>
      </c>
    </row>
    <row r="40" spans="1:1" x14ac:dyDescent="0.25">
      <c r="A40" s="140"/>
    </row>
    <row r="41" spans="1:1" ht="39.6" x14ac:dyDescent="0.25">
      <c r="A41" s="140" t="s">
        <v>491</v>
      </c>
    </row>
    <row r="42" spans="1:1" x14ac:dyDescent="0.25">
      <c r="A42" s="140"/>
    </row>
    <row r="43" spans="1:1" ht="39.6" x14ac:dyDescent="0.25">
      <c r="A43" s="140" t="s">
        <v>403</v>
      </c>
    </row>
    <row r="44" spans="1:1" x14ac:dyDescent="0.25">
      <c r="A44" s="140"/>
    </row>
    <row r="45" spans="1:1" ht="39.6" x14ac:dyDescent="0.25">
      <c r="A45" s="139" t="s">
        <v>425</v>
      </c>
    </row>
    <row r="46" spans="1:1" x14ac:dyDescent="0.25">
      <c r="A46" s="139"/>
    </row>
    <row r="47" spans="1:1" x14ac:dyDescent="0.25">
      <c r="A47" s="139" t="s">
        <v>404</v>
      </c>
    </row>
    <row r="48" spans="1:1" x14ac:dyDescent="0.25">
      <c r="A48" s="139"/>
    </row>
    <row r="49" spans="1:1" ht="26.4" x14ac:dyDescent="0.25">
      <c r="A49" s="140" t="s">
        <v>405</v>
      </c>
    </row>
    <row r="50" spans="1:1" x14ac:dyDescent="0.25">
      <c r="A50" s="139"/>
    </row>
    <row r="51" spans="1:1" ht="52.8" x14ac:dyDescent="0.25">
      <c r="A51" s="140" t="s">
        <v>406</v>
      </c>
    </row>
    <row r="52" spans="1:1" x14ac:dyDescent="0.25">
      <c r="A52" s="140"/>
    </row>
    <row r="53" spans="1:1" ht="26.4" x14ac:dyDescent="0.25">
      <c r="A53" s="140" t="s">
        <v>407</v>
      </c>
    </row>
    <row r="54" spans="1:1" x14ac:dyDescent="0.25">
      <c r="A54" s="139"/>
    </row>
    <row r="55" spans="1:1" x14ac:dyDescent="0.25">
      <c r="A55" s="138" t="s">
        <v>124</v>
      </c>
    </row>
    <row r="56" spans="1:1" x14ac:dyDescent="0.25">
      <c r="A56" s="140"/>
    </row>
    <row r="57" spans="1:1" ht="39.6" x14ac:dyDescent="0.25">
      <c r="A57" s="140" t="s">
        <v>433</v>
      </c>
    </row>
    <row r="58" spans="1:1" x14ac:dyDescent="0.25">
      <c r="A58" s="140"/>
    </row>
    <row r="59" spans="1:1" ht="52.8" x14ac:dyDescent="0.25">
      <c r="A59" s="140" t="s">
        <v>492</v>
      </c>
    </row>
    <row r="60" spans="1:1" x14ac:dyDescent="0.25">
      <c r="A60" s="140"/>
    </row>
    <row r="61" spans="1:1" ht="52.8" x14ac:dyDescent="0.25">
      <c r="A61" s="140" t="s">
        <v>408</v>
      </c>
    </row>
    <row r="62" spans="1:1" x14ac:dyDescent="0.25">
      <c r="A62" s="140"/>
    </row>
    <row r="63" spans="1:1" ht="52.8" x14ac:dyDescent="0.25">
      <c r="A63" s="139" t="s">
        <v>423</v>
      </c>
    </row>
    <row r="64" spans="1:1" x14ac:dyDescent="0.25">
      <c r="A64" s="140"/>
    </row>
    <row r="65" spans="1:1" ht="39.6" x14ac:dyDescent="0.25">
      <c r="A65" s="139" t="s">
        <v>126</v>
      </c>
    </row>
    <row r="66" spans="1:1" x14ac:dyDescent="0.25">
      <c r="A66" s="140"/>
    </row>
    <row r="67" spans="1:1" ht="52.8" x14ac:dyDescent="0.25">
      <c r="A67" s="140" t="s">
        <v>127</v>
      </c>
    </row>
    <row r="68" spans="1:1" x14ac:dyDescent="0.25">
      <c r="A68" s="140"/>
    </row>
    <row r="69" spans="1:1" ht="39.6" x14ac:dyDescent="0.25">
      <c r="A69" s="140" t="s">
        <v>426</v>
      </c>
    </row>
    <row r="70" spans="1:1" x14ac:dyDescent="0.25">
      <c r="A70" s="140"/>
    </row>
    <row r="71" spans="1:1" ht="52.8" x14ac:dyDescent="0.25">
      <c r="A71" s="139" t="s">
        <v>409</v>
      </c>
    </row>
    <row r="72" spans="1:1" x14ac:dyDescent="0.25">
      <c r="A72" s="140"/>
    </row>
    <row r="73" spans="1:1" ht="52.8" x14ac:dyDescent="0.25">
      <c r="A73" s="140" t="s">
        <v>136</v>
      </c>
    </row>
    <row r="74" spans="1:1" x14ac:dyDescent="0.25">
      <c r="A74" s="140"/>
    </row>
    <row r="75" spans="1:1" x14ac:dyDescent="0.25">
      <c r="A75" s="139" t="s">
        <v>152</v>
      </c>
    </row>
    <row r="76" spans="1:1" x14ac:dyDescent="0.25">
      <c r="A76" s="139"/>
    </row>
    <row r="77" spans="1:1" ht="39.6" x14ac:dyDescent="0.25">
      <c r="A77" s="140" t="s">
        <v>93</v>
      </c>
    </row>
    <row r="78" spans="1:1" x14ac:dyDescent="0.25">
      <c r="A78" s="140"/>
    </row>
    <row r="79" spans="1:1" ht="52.8" x14ac:dyDescent="0.25">
      <c r="A79" s="140" t="s">
        <v>410</v>
      </c>
    </row>
    <row r="80" spans="1:1" x14ac:dyDescent="0.25">
      <c r="A80" s="140"/>
    </row>
    <row r="81" spans="1:1" ht="52.8" x14ac:dyDescent="0.25">
      <c r="A81" s="140" t="s">
        <v>411</v>
      </c>
    </row>
    <row r="82" spans="1:1" x14ac:dyDescent="0.25">
      <c r="A82" s="140"/>
    </row>
    <row r="83" spans="1:1" ht="66" x14ac:dyDescent="0.25">
      <c r="A83" s="140" t="s">
        <v>412</v>
      </c>
    </row>
    <row r="84" spans="1:1" x14ac:dyDescent="0.25">
      <c r="A84" s="140"/>
    </row>
    <row r="85" spans="1:1" x14ac:dyDescent="0.25">
      <c r="A85" s="139" t="s">
        <v>128</v>
      </c>
    </row>
    <row r="86" spans="1:1" x14ac:dyDescent="0.25">
      <c r="A86" s="140"/>
    </row>
    <row r="87" spans="1:1" ht="52.8" x14ac:dyDescent="0.25">
      <c r="A87" s="140" t="s">
        <v>137</v>
      </c>
    </row>
    <row r="88" spans="1:1" x14ac:dyDescent="0.25">
      <c r="A88" s="140"/>
    </row>
    <row r="89" spans="1:1" ht="26.4" x14ac:dyDescent="0.25">
      <c r="A89" s="139" t="s">
        <v>427</v>
      </c>
    </row>
    <row r="90" spans="1:1" x14ac:dyDescent="0.25">
      <c r="A90" s="140"/>
    </row>
    <row r="91" spans="1:1" x14ac:dyDescent="0.25">
      <c r="A91" s="139" t="s">
        <v>129</v>
      </c>
    </row>
    <row r="92" spans="1:1" x14ac:dyDescent="0.25">
      <c r="A92" s="140"/>
    </row>
    <row r="93" spans="1:1" ht="52.8" x14ac:dyDescent="0.25">
      <c r="A93" s="140" t="s">
        <v>138</v>
      </c>
    </row>
    <row r="94" spans="1:1" x14ac:dyDescent="0.25">
      <c r="A94" s="140"/>
    </row>
    <row r="95" spans="1:1" ht="52.8" x14ac:dyDescent="0.25">
      <c r="A95" s="140" t="s">
        <v>139</v>
      </c>
    </row>
    <row r="96" spans="1:1" x14ac:dyDescent="0.25">
      <c r="A96" s="140"/>
    </row>
    <row r="97" spans="1:1" ht="26.4" x14ac:dyDescent="0.25">
      <c r="A97" s="140" t="s">
        <v>130</v>
      </c>
    </row>
    <row r="98" spans="1:1" x14ac:dyDescent="0.25">
      <c r="A98" s="140" t="s">
        <v>131</v>
      </c>
    </row>
    <row r="99" spans="1:1" x14ac:dyDescent="0.25">
      <c r="A99" s="140" t="s">
        <v>132</v>
      </c>
    </row>
    <row r="100" spans="1:1" ht="26.4" x14ac:dyDescent="0.25">
      <c r="A100" s="140" t="s">
        <v>141</v>
      </c>
    </row>
    <row r="101" spans="1:1" ht="39.6" x14ac:dyDescent="0.25">
      <c r="A101" s="140" t="s">
        <v>133</v>
      </c>
    </row>
    <row r="102" spans="1:1" ht="26.4" x14ac:dyDescent="0.25">
      <c r="A102" s="140" t="s">
        <v>142</v>
      </c>
    </row>
    <row r="103" spans="1:1" ht="26.4" x14ac:dyDescent="0.25">
      <c r="A103" s="140" t="s">
        <v>140</v>
      </c>
    </row>
    <row r="104" spans="1:1" ht="39.6" x14ac:dyDescent="0.25">
      <c r="A104" s="140" t="s">
        <v>143</v>
      </c>
    </row>
    <row r="105" spans="1:1" ht="39.6" x14ac:dyDescent="0.25">
      <c r="A105" s="140" t="s">
        <v>144</v>
      </c>
    </row>
    <row r="106" spans="1:1" x14ac:dyDescent="0.25">
      <c r="A106" s="140" t="s">
        <v>145</v>
      </c>
    </row>
    <row r="107" spans="1:1" ht="39.6" x14ac:dyDescent="0.25">
      <c r="A107" s="140" t="s">
        <v>428</v>
      </c>
    </row>
    <row r="108" spans="1:1" ht="39.6" x14ac:dyDescent="0.25">
      <c r="A108" s="140" t="s">
        <v>146</v>
      </c>
    </row>
    <row r="109" spans="1:1" ht="39.6" x14ac:dyDescent="0.25">
      <c r="A109" s="140" t="s">
        <v>134</v>
      </c>
    </row>
    <row r="110" spans="1:1" ht="26.4" x14ac:dyDescent="0.25">
      <c r="A110" s="140" t="s">
        <v>147</v>
      </c>
    </row>
    <row r="111" spans="1:1" x14ac:dyDescent="0.25">
      <c r="A111" s="140"/>
    </row>
    <row r="112" spans="1:1" x14ac:dyDescent="0.25">
      <c r="A112" s="139" t="s">
        <v>135</v>
      </c>
    </row>
    <row r="113" spans="1:1" x14ac:dyDescent="0.25">
      <c r="A113" s="140"/>
    </row>
    <row r="114" spans="1:1" ht="39.6" x14ac:dyDescent="0.25">
      <c r="A114" s="140" t="s">
        <v>148</v>
      </c>
    </row>
    <row r="115" spans="1:1" x14ac:dyDescent="0.25">
      <c r="A115" s="140"/>
    </row>
    <row r="116" spans="1:1" ht="39.6" x14ac:dyDescent="0.25">
      <c r="A116" s="140" t="s">
        <v>149</v>
      </c>
    </row>
    <row r="117" spans="1:1" x14ac:dyDescent="0.25">
      <c r="A117" s="140"/>
    </row>
    <row r="118" spans="1:1" ht="52.8" x14ac:dyDescent="0.25">
      <c r="A118" s="140" t="s">
        <v>151</v>
      </c>
    </row>
    <row r="119" spans="1:1" x14ac:dyDescent="0.25">
      <c r="A119" s="140"/>
    </row>
    <row r="120" spans="1:1" ht="66" x14ac:dyDescent="0.25">
      <c r="A120" s="140" t="s">
        <v>150</v>
      </c>
    </row>
    <row r="121" spans="1:1" x14ac:dyDescent="0.25">
      <c r="A121" s="138"/>
    </row>
    <row r="122" spans="1:1" x14ac:dyDescent="0.25">
      <c r="A122" s="138" t="s">
        <v>47</v>
      </c>
    </row>
    <row r="123" spans="1:1" x14ac:dyDescent="0.25">
      <c r="A123" s="140"/>
    </row>
    <row r="124" spans="1:1" ht="39.6" x14ac:dyDescent="0.25">
      <c r="A124" s="140" t="s">
        <v>493</v>
      </c>
    </row>
    <row r="125" spans="1:1" x14ac:dyDescent="0.25">
      <c r="A125" s="140"/>
    </row>
    <row r="126" spans="1:1" ht="39.6" x14ac:dyDescent="0.25">
      <c r="A126" s="140" t="s">
        <v>494</v>
      </c>
    </row>
    <row r="127" spans="1:1" x14ac:dyDescent="0.25">
      <c r="A127" s="139"/>
    </row>
    <row r="128" spans="1:1" x14ac:dyDescent="0.25">
      <c r="A128" s="141" t="s">
        <v>97</v>
      </c>
    </row>
    <row r="129" spans="1:1" x14ac:dyDescent="0.25">
      <c r="A129" s="139"/>
    </row>
    <row r="130" spans="1:1" ht="39.6" x14ac:dyDescent="0.25">
      <c r="A130" s="140" t="s">
        <v>434</v>
      </c>
    </row>
    <row r="131" spans="1:1" x14ac:dyDescent="0.25">
      <c r="A131" s="140"/>
    </row>
    <row r="132" spans="1:1" ht="26.4" x14ac:dyDescent="0.25">
      <c r="A132" s="140" t="s">
        <v>413</v>
      </c>
    </row>
    <row r="133" spans="1:1" x14ac:dyDescent="0.25">
      <c r="A133" s="140"/>
    </row>
    <row r="134" spans="1:1" ht="52.8" x14ac:dyDescent="0.25">
      <c r="A134" s="140" t="s">
        <v>414</v>
      </c>
    </row>
    <row r="135" spans="1:1" x14ac:dyDescent="0.25">
      <c r="A135" s="140"/>
    </row>
    <row r="136" spans="1:1" ht="26.4" x14ac:dyDescent="0.25">
      <c r="A136" s="139" t="s">
        <v>415</v>
      </c>
    </row>
    <row r="137" spans="1:1" x14ac:dyDescent="0.25">
      <c r="A137" s="140"/>
    </row>
    <row r="138" spans="1:1" x14ac:dyDescent="0.25">
      <c r="A138" s="138" t="s">
        <v>98</v>
      </c>
    </row>
    <row r="139" spans="1:1" x14ac:dyDescent="0.25">
      <c r="A139" s="140"/>
    </row>
    <row r="140" spans="1:1" ht="52.8" x14ac:dyDescent="0.25">
      <c r="A140" s="140" t="s">
        <v>495</v>
      </c>
    </row>
    <row r="141" spans="1:1" x14ac:dyDescent="0.25">
      <c r="A141" s="140"/>
    </row>
    <row r="142" spans="1:1" ht="39.6" x14ac:dyDescent="0.25">
      <c r="A142" s="140" t="s">
        <v>99</v>
      </c>
    </row>
    <row r="143" spans="1:1" x14ac:dyDescent="0.25">
      <c r="A143" s="140"/>
    </row>
    <row r="144" spans="1:1" ht="26.4" x14ac:dyDescent="0.25">
      <c r="A144" s="140" t="s">
        <v>429</v>
      </c>
    </row>
    <row r="145" spans="1:1" x14ac:dyDescent="0.25">
      <c r="A145" s="140"/>
    </row>
    <row r="146" spans="1:1" ht="52.8" x14ac:dyDescent="0.25">
      <c r="A146" s="139" t="s">
        <v>416</v>
      </c>
    </row>
    <row r="147" spans="1:1" x14ac:dyDescent="0.25">
      <c r="A147" s="140"/>
    </row>
    <row r="148" spans="1:1" ht="39.6" x14ac:dyDescent="0.25">
      <c r="A148" s="140" t="s">
        <v>417</v>
      </c>
    </row>
    <row r="149" spans="1:1" x14ac:dyDescent="0.25">
      <c r="A149" s="140"/>
    </row>
    <row r="150" spans="1:1" ht="39.6" x14ac:dyDescent="0.25">
      <c r="A150" s="140" t="s">
        <v>418</v>
      </c>
    </row>
    <row r="151" spans="1:1" x14ac:dyDescent="0.25">
      <c r="A151" s="140"/>
    </row>
    <row r="152" spans="1:1" x14ac:dyDescent="0.25">
      <c r="A152" s="138" t="s">
        <v>100</v>
      </c>
    </row>
    <row r="153" spans="1:1" x14ac:dyDescent="0.25">
      <c r="A153" s="139"/>
    </row>
    <row r="154" spans="1:1" ht="52.8" x14ac:dyDescent="0.25">
      <c r="A154" s="140" t="s">
        <v>496</v>
      </c>
    </row>
    <row r="155" spans="1:1" x14ac:dyDescent="0.25">
      <c r="A155" s="140"/>
    </row>
    <row r="156" spans="1:1" ht="39.6" x14ac:dyDescent="0.25">
      <c r="A156" s="140" t="s">
        <v>101</v>
      </c>
    </row>
    <row r="157" spans="1:1" x14ac:dyDescent="0.25">
      <c r="A157" s="139"/>
    </row>
    <row r="158" spans="1:1" ht="26.4" x14ac:dyDescent="0.25">
      <c r="A158" s="140" t="s">
        <v>430</v>
      </c>
    </row>
    <row r="159" spans="1:1" x14ac:dyDescent="0.25">
      <c r="A159" s="140"/>
    </row>
    <row r="160" spans="1:1" ht="26.4" x14ac:dyDescent="0.25">
      <c r="A160" s="139" t="s">
        <v>419</v>
      </c>
    </row>
    <row r="161" spans="1:1" x14ac:dyDescent="0.25">
      <c r="A161" s="140"/>
    </row>
    <row r="162" spans="1:1" ht="39.6" x14ac:dyDescent="0.25">
      <c r="A162" s="140" t="s">
        <v>497</v>
      </c>
    </row>
    <row r="163" spans="1:1" x14ac:dyDescent="0.25">
      <c r="A163" s="139"/>
    </row>
    <row r="164" spans="1:1" x14ac:dyDescent="0.25">
      <c r="A164" s="138" t="s">
        <v>498</v>
      </c>
    </row>
    <row r="165" spans="1:1" x14ac:dyDescent="0.25">
      <c r="A165" s="139"/>
    </row>
    <row r="166" spans="1:1" ht="39.6" x14ac:dyDescent="0.25">
      <c r="A166" s="140" t="s">
        <v>499</v>
      </c>
    </row>
    <row r="167" spans="1:1" x14ac:dyDescent="0.25">
      <c r="A167" s="140"/>
    </row>
    <row r="168" spans="1:1" ht="39.6" x14ac:dyDescent="0.25">
      <c r="A168" s="140" t="s">
        <v>504</v>
      </c>
    </row>
    <row r="169" spans="1:1" x14ac:dyDescent="0.25">
      <c r="A169" s="140"/>
    </row>
    <row r="170" spans="1:1" ht="39.6" x14ac:dyDescent="0.25">
      <c r="A170" s="140" t="s">
        <v>500</v>
      </c>
    </row>
    <row r="171" spans="1:1" x14ac:dyDescent="0.25">
      <c r="A171" s="140"/>
    </row>
    <row r="172" spans="1:1" ht="39.6" x14ac:dyDescent="0.25">
      <c r="A172" s="140" t="s">
        <v>501</v>
      </c>
    </row>
    <row r="173" spans="1:1" x14ac:dyDescent="0.25">
      <c r="A173" s="140"/>
    </row>
    <row r="174" spans="1:1" ht="39.6" x14ac:dyDescent="0.25">
      <c r="A174" s="140" t="s">
        <v>505</v>
      </c>
    </row>
    <row r="175" spans="1:1" x14ac:dyDescent="0.25">
      <c r="A175" s="140"/>
    </row>
    <row r="176" spans="1:1" ht="26.4" x14ac:dyDescent="0.25">
      <c r="A176" s="139" t="s">
        <v>502</v>
      </c>
    </row>
    <row r="177" spans="1:1" x14ac:dyDescent="0.25">
      <c r="A177" s="140"/>
    </row>
    <row r="178" spans="1:1" ht="39.6" x14ac:dyDescent="0.25">
      <c r="A178" s="140" t="s">
        <v>506</v>
      </c>
    </row>
    <row r="179" spans="1:1" x14ac:dyDescent="0.25">
      <c r="A179" s="140"/>
    </row>
    <row r="180" spans="1:1" x14ac:dyDescent="0.25">
      <c r="A180" s="138" t="s">
        <v>102</v>
      </c>
    </row>
    <row r="181" spans="1:1" x14ac:dyDescent="0.25">
      <c r="A181" s="140"/>
    </row>
    <row r="182" spans="1:1" ht="52.8" x14ac:dyDescent="0.25">
      <c r="A182" s="140" t="s">
        <v>393</v>
      </c>
    </row>
    <row r="183" spans="1:1" x14ac:dyDescent="0.25">
      <c r="A183" s="140"/>
    </row>
    <row r="184" spans="1:1" x14ac:dyDescent="0.25">
      <c r="A184" s="138" t="s">
        <v>153</v>
      </c>
    </row>
    <row r="185" spans="1:1" x14ac:dyDescent="0.25">
      <c r="A185" s="140"/>
    </row>
    <row r="186" spans="1:1" ht="26.4" x14ac:dyDescent="0.25">
      <c r="A186" s="140" t="s">
        <v>154</v>
      </c>
    </row>
    <row r="187" spans="1:1" x14ac:dyDescent="0.25">
      <c r="A187" s="140"/>
    </row>
    <row r="188" spans="1:1" ht="39.6" x14ac:dyDescent="0.25">
      <c r="A188" s="140" t="s">
        <v>157</v>
      </c>
    </row>
    <row r="189" spans="1:1" x14ac:dyDescent="0.25">
      <c r="A189" s="140"/>
    </row>
    <row r="190" spans="1:1" ht="26.4" x14ac:dyDescent="0.25">
      <c r="A190" s="139" t="s">
        <v>155</v>
      </c>
    </row>
    <row r="191" spans="1:1" x14ac:dyDescent="0.25">
      <c r="A191" s="140"/>
    </row>
    <row r="192" spans="1:1" ht="26.4" x14ac:dyDescent="0.25">
      <c r="A192" s="139" t="s">
        <v>156</v>
      </c>
    </row>
    <row r="193" spans="1:1" x14ac:dyDescent="0.25">
      <c r="A193" s="139"/>
    </row>
    <row r="194" spans="1:1" x14ac:dyDescent="0.25">
      <c r="A194" s="138" t="s">
        <v>52</v>
      </c>
    </row>
    <row r="195" spans="1:1" x14ac:dyDescent="0.25">
      <c r="A195" s="140"/>
    </row>
    <row r="196" spans="1:1" ht="26.4" x14ac:dyDescent="0.25">
      <c r="A196" s="140" t="s">
        <v>503</v>
      </c>
    </row>
    <row r="197" spans="1:1" ht="26.4" x14ac:dyDescent="0.25">
      <c r="A197" s="140" t="s">
        <v>158</v>
      </c>
    </row>
    <row r="198" spans="1:1" ht="26.4" x14ac:dyDescent="0.25">
      <c r="A198" s="140" t="s">
        <v>424</v>
      </c>
    </row>
    <row r="199" spans="1:1" ht="52.8" x14ac:dyDescent="0.25">
      <c r="A199" s="140" t="s">
        <v>436</v>
      </c>
    </row>
    <row r="200" spans="1:1" ht="52.8" x14ac:dyDescent="0.25">
      <c r="A200" s="140" t="s">
        <v>437</v>
      </c>
    </row>
    <row r="201" spans="1:1" ht="52.8" x14ac:dyDescent="0.25">
      <c r="A201" s="140" t="s">
        <v>159</v>
      </c>
    </row>
    <row r="202" spans="1:1" ht="39.6" x14ac:dyDescent="0.25">
      <c r="A202" s="140" t="s">
        <v>420</v>
      </c>
    </row>
    <row r="203" spans="1:1" ht="39.6" x14ac:dyDescent="0.25">
      <c r="A203" s="140" t="s">
        <v>421</v>
      </c>
    </row>
    <row r="204" spans="1:1" ht="26.4" x14ac:dyDescent="0.25">
      <c r="A204" s="140" t="s">
        <v>422</v>
      </c>
    </row>
    <row r="205" spans="1:1" x14ac:dyDescent="0.25">
      <c r="A205" s="140"/>
    </row>
    <row r="206" spans="1:1" x14ac:dyDescent="0.25">
      <c r="A206" s="138" t="s">
        <v>53</v>
      </c>
    </row>
    <row r="207" spans="1:1" x14ac:dyDescent="0.25">
      <c r="A207" s="140"/>
    </row>
    <row r="208" spans="1:1" ht="52.8" x14ac:dyDescent="0.25">
      <c r="A208" s="140" t="s">
        <v>515</v>
      </c>
    </row>
    <row r="210" spans="1:1" x14ac:dyDescent="0.25">
      <c r="A210" s="138" t="s">
        <v>103</v>
      </c>
    </row>
    <row r="211" spans="1:1" x14ac:dyDescent="0.25">
      <c r="A211" s="138"/>
    </row>
    <row r="212" spans="1:1" ht="79.2" x14ac:dyDescent="0.25">
      <c r="A212" s="140" t="s">
        <v>516</v>
      </c>
    </row>
  </sheetData>
  <sheetProtection algorithmName="SHA-512" hashValue="e580h2V20ffxZfzizFeCK4utmJwAQPTc598FjXHrC1sy+yx/+HijMs6DVI7OnL8csfxiHHeqMey3KUbEV/0f8Q==" saltValue="ddqx9rqlBA9iLuXfu529OA==" spinCount="100000" sheet="1" objects="1" scenarios="1" selectLockedCells="1"/>
  <hyperlinks>
    <hyperlink ref="A3" r:id="rId1" xr:uid="{BEB003A5-B83C-4E44-A1F6-275131093D65}"/>
  </hyperlinks>
  <pageMargins left="0.59055118110236227" right="0.59055118110236227" top="0.59055118110236227" bottom="0.59055118110236227" header="0.39370078740157483" footer="0.39370078740157483"/>
  <pageSetup paperSize="9" scale="84" fitToHeight="0" orientation="portrait" r:id="rId2"/>
  <headerFooter>
    <oddFooter>&amp;C&amp;"-,Regular"&amp;9Page &amp;P of &amp;N</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24"/>
  <sheetViews>
    <sheetView zoomScale="95" zoomScaleNormal="95" workbookViewId="0">
      <selection activeCell="B4" sqref="B4:D4"/>
    </sheetView>
  </sheetViews>
  <sheetFormatPr defaultColWidth="9.109375" defaultRowHeight="16.05" customHeight="1" x14ac:dyDescent="0.25"/>
  <cols>
    <col min="1" max="1" width="25.6640625" style="11" customWidth="1"/>
    <col min="2" max="2" width="15.6640625" style="11" customWidth="1"/>
    <col min="3" max="3" width="5.6640625" style="11" customWidth="1"/>
    <col min="4" max="14" width="15.6640625" style="11" customWidth="1"/>
    <col min="15" max="16384" width="9.109375" style="11"/>
  </cols>
  <sheetData>
    <row r="1" spans="1:4" ht="16.05" customHeight="1" x14ac:dyDescent="0.25">
      <c r="A1" s="7" t="s">
        <v>517</v>
      </c>
    </row>
    <row r="2" spans="1:4" ht="16.05" customHeight="1" x14ac:dyDescent="0.25">
      <c r="A2" s="12" t="s">
        <v>365</v>
      </c>
    </row>
    <row r="3" spans="1:4" ht="16.05" customHeight="1" x14ac:dyDescent="0.25">
      <c r="A3" s="13" t="s">
        <v>518</v>
      </c>
    </row>
    <row r="4" spans="1:4" ht="16.05" customHeight="1" x14ac:dyDescent="0.25">
      <c r="A4" s="11" t="s">
        <v>0</v>
      </c>
      <c r="B4" s="273" t="s">
        <v>517</v>
      </c>
      <c r="C4" s="273"/>
      <c r="D4" s="273"/>
    </row>
    <row r="6" spans="1:4" ht="16.05" customHeight="1" x14ac:dyDescent="0.25">
      <c r="A6" s="11" t="s">
        <v>391</v>
      </c>
      <c r="B6" s="14">
        <v>44348</v>
      </c>
    </row>
    <row r="8" spans="1:4" ht="16.05" customHeight="1" x14ac:dyDescent="0.25">
      <c r="A8" s="11" t="s">
        <v>1</v>
      </c>
      <c r="B8" s="15">
        <v>2022</v>
      </c>
      <c r="D8" s="16">
        <v>2022</v>
      </c>
    </row>
    <row r="10" spans="1:4" ht="16.05" customHeight="1" x14ac:dyDescent="0.25">
      <c r="A10" s="11" t="s">
        <v>54</v>
      </c>
      <c r="B10" s="271">
        <v>44742</v>
      </c>
      <c r="C10" s="272"/>
    </row>
    <row r="13" spans="1:4" ht="16.05" customHeight="1" x14ac:dyDescent="0.25">
      <c r="B13" s="17">
        <v>44562</v>
      </c>
    </row>
    <row r="14" spans="1:4" ht="16.05" customHeight="1" x14ac:dyDescent="0.25">
      <c r="B14" s="17">
        <v>44593</v>
      </c>
    </row>
    <row r="15" spans="1:4" ht="16.05" customHeight="1" x14ac:dyDescent="0.25">
      <c r="B15" s="17">
        <v>44621</v>
      </c>
    </row>
    <row r="16" spans="1:4" ht="16.05" customHeight="1" x14ac:dyDescent="0.25">
      <c r="B16" s="17">
        <v>44652</v>
      </c>
    </row>
    <row r="17" spans="2:2" ht="16.05" customHeight="1" x14ac:dyDescent="0.25">
      <c r="B17" s="17">
        <v>44682</v>
      </c>
    </row>
    <row r="18" spans="2:2" ht="16.05" customHeight="1" x14ac:dyDescent="0.25">
      <c r="B18" s="17">
        <v>44713</v>
      </c>
    </row>
    <row r="19" spans="2:2" ht="16.05" customHeight="1" x14ac:dyDescent="0.25">
      <c r="B19" s="17">
        <v>44743</v>
      </c>
    </row>
    <row r="20" spans="2:2" ht="16.05" customHeight="1" x14ac:dyDescent="0.25">
      <c r="B20" s="17">
        <v>44774</v>
      </c>
    </row>
    <row r="21" spans="2:2" ht="16.05" customHeight="1" x14ac:dyDescent="0.25">
      <c r="B21" s="17">
        <v>44805</v>
      </c>
    </row>
    <row r="22" spans="2:2" ht="16.05" customHeight="1" x14ac:dyDescent="0.25">
      <c r="B22" s="17">
        <v>44835</v>
      </c>
    </row>
    <row r="23" spans="2:2" ht="16.05" customHeight="1" x14ac:dyDescent="0.25">
      <c r="B23" s="17">
        <v>44866</v>
      </c>
    </row>
    <row r="24" spans="2:2" ht="16.05" customHeight="1" x14ac:dyDescent="0.25">
      <c r="B24" s="17">
        <v>44896</v>
      </c>
    </row>
  </sheetData>
  <sheetProtection algorithmName="SHA-512" hashValue="7ywXoYfRkJt0Ct7CMULwA26U3QRpgNL1srPp4iN9eG6iBYegv5bouqXg/0B9qcDra1GrxHcnhejQNz7xAFSrRQ==" saltValue="zD30nzUtAv5B8Pn81MRPfg==" spinCount="100000" sheet="1" objects="1" scenarios="1"/>
  <mergeCells count="2">
    <mergeCell ref="B10:C10"/>
    <mergeCell ref="B4:D4"/>
  </mergeCells>
  <conditionalFormatting sqref="B4:D4 B6 B8">
    <cfRule type="containsBlanks" dxfId="18" priority="1" stopIfTrue="1">
      <formula>LEN(TRIM(B4))=0</formula>
    </cfRule>
  </conditionalFormatting>
  <dataValidations count="2">
    <dataValidation type="list" allowBlank="1" showInputMessage="1" showErrorMessage="1" errorTitle="Invalid Selection" error="Select a valid month from the list box." sqref="B6" xr:uid="{00000000-0002-0000-0400-000000000000}">
      <formula1>MonthNames</formula1>
    </dataValidation>
    <dataValidation type="whole" allowBlank="1" showInputMessage="1" showErrorMessage="1" errorTitle="Invalid Data" error="Enter a valid year between 2000 and 2100." sqref="B8" xr:uid="{00000000-0002-0000-0400-000001000000}">
      <formula1>2000</formula1>
      <formula2>2100</formula2>
    </dataValidation>
  </dataValidations>
  <pageMargins left="0.55118110236220474" right="0.55118110236220474" top="0.55118110236220474" bottom="0.55118110236220474" header="0.39370078740157483" footer="0.39370078740157483"/>
  <pageSetup paperSize="9" orientation="portrait" r:id="rId1"/>
  <headerFooter>
    <oddFooter>&amp;C&amp;"-,Regular"&amp;9Page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66"/>
  <sheetViews>
    <sheetView zoomScale="95" zoomScaleNormal="95" workbookViewId="0">
      <pane ySplit="4" topLeftCell="A5" activePane="bottomLeft" state="frozen"/>
      <selection pane="bottomLeft" activeCell="F27" sqref="F27"/>
    </sheetView>
  </sheetViews>
  <sheetFormatPr defaultColWidth="9.109375" defaultRowHeight="16.05" customHeight="1" x14ac:dyDescent="0.25"/>
  <cols>
    <col min="1" max="1" width="10.6640625" style="11" customWidth="1"/>
    <col min="2" max="2" width="40.6640625" style="11" customWidth="1"/>
    <col min="3" max="3" width="15.6640625" style="18" customWidth="1"/>
    <col min="4" max="11" width="15.6640625" style="11" customWidth="1"/>
    <col min="12" max="16384" width="9.109375" style="11"/>
  </cols>
  <sheetData>
    <row r="1" spans="1:3" ht="16.05" customHeight="1" x14ac:dyDescent="0.25">
      <c r="A1" s="7" t="s">
        <v>517</v>
      </c>
    </row>
    <row r="2" spans="1:3" ht="16.05" customHeight="1" x14ac:dyDescent="0.25">
      <c r="A2" s="12" t="s">
        <v>92</v>
      </c>
    </row>
    <row r="3" spans="1:3" ht="16.05" customHeight="1" x14ac:dyDescent="0.25">
      <c r="A3" s="13" t="s">
        <v>518</v>
      </c>
    </row>
    <row r="4" spans="1:3" ht="18" customHeight="1" x14ac:dyDescent="0.25">
      <c r="A4" s="19" t="s">
        <v>5</v>
      </c>
      <c r="B4" s="19" t="s">
        <v>37</v>
      </c>
      <c r="C4" s="20" t="s">
        <v>366</v>
      </c>
    </row>
    <row r="5" spans="1:3" ht="16.05" customHeight="1" x14ac:dyDescent="0.25">
      <c r="A5" s="12" t="s">
        <v>47</v>
      </c>
    </row>
    <row r="6" spans="1:3" ht="16.05" customHeight="1" x14ac:dyDescent="0.25">
      <c r="A6" s="21" t="s">
        <v>160</v>
      </c>
      <c r="B6" s="11" t="s">
        <v>161</v>
      </c>
      <c r="C6" s="18" t="s">
        <v>519</v>
      </c>
    </row>
    <row r="7" spans="1:3" ht="16.05" customHeight="1" x14ac:dyDescent="0.25">
      <c r="A7" s="21" t="s">
        <v>162</v>
      </c>
      <c r="B7" s="22" t="s">
        <v>44</v>
      </c>
      <c r="C7" s="18" t="s">
        <v>519</v>
      </c>
    </row>
    <row r="8" spans="1:3" ht="16.05" customHeight="1" x14ac:dyDescent="0.25">
      <c r="A8" s="21" t="s">
        <v>163</v>
      </c>
      <c r="B8" s="11" t="s">
        <v>164</v>
      </c>
      <c r="C8" s="18" t="s">
        <v>520</v>
      </c>
    </row>
    <row r="9" spans="1:3" ht="16.05" customHeight="1" x14ac:dyDescent="0.25">
      <c r="A9" s="21" t="s">
        <v>165</v>
      </c>
      <c r="B9" s="11" t="s">
        <v>166</v>
      </c>
      <c r="C9" s="18" t="s">
        <v>519</v>
      </c>
    </row>
    <row r="10" spans="1:3" ht="16.05" customHeight="1" x14ac:dyDescent="0.25">
      <c r="A10" s="21" t="s">
        <v>167</v>
      </c>
      <c r="B10" s="11" t="s">
        <v>168</v>
      </c>
      <c r="C10" s="18" t="s">
        <v>519</v>
      </c>
    </row>
    <row r="11" spans="1:3" ht="16.05" customHeight="1" x14ac:dyDescent="0.25">
      <c r="A11" s="21" t="s">
        <v>169</v>
      </c>
      <c r="B11" s="11" t="s">
        <v>170</v>
      </c>
      <c r="C11" s="18" t="s">
        <v>519</v>
      </c>
    </row>
    <row r="12" spans="1:3" ht="16.05" customHeight="1" x14ac:dyDescent="0.25">
      <c r="A12" s="21" t="s">
        <v>171</v>
      </c>
      <c r="B12" s="11" t="s">
        <v>63</v>
      </c>
      <c r="C12" s="18" t="s">
        <v>519</v>
      </c>
    </row>
    <row r="13" spans="1:3" ht="16.05" customHeight="1" x14ac:dyDescent="0.25">
      <c r="A13" s="21" t="s">
        <v>172</v>
      </c>
      <c r="B13" s="11" t="s">
        <v>173</v>
      </c>
      <c r="C13" s="18" t="s">
        <v>519</v>
      </c>
    </row>
    <row r="14" spans="1:3" ht="16.05" customHeight="1" x14ac:dyDescent="0.25">
      <c r="A14" s="21" t="s">
        <v>174</v>
      </c>
      <c r="B14" s="11" t="s">
        <v>175</v>
      </c>
      <c r="C14" s="18" t="s">
        <v>519</v>
      </c>
    </row>
    <row r="15" spans="1:3" ht="16.05" customHeight="1" x14ac:dyDescent="0.25">
      <c r="A15" s="21" t="s">
        <v>176</v>
      </c>
      <c r="B15" s="11" t="s">
        <v>66</v>
      </c>
      <c r="C15" s="18" t="s">
        <v>519</v>
      </c>
    </row>
    <row r="16" spans="1:3" ht="16.05" customHeight="1" x14ac:dyDescent="0.25">
      <c r="A16" s="21" t="s">
        <v>177</v>
      </c>
      <c r="B16" s="11" t="s">
        <v>67</v>
      </c>
      <c r="C16" s="18" t="s">
        <v>519</v>
      </c>
    </row>
    <row r="17" spans="1:3" ht="16.05" customHeight="1" x14ac:dyDescent="0.25">
      <c r="A17" s="21" t="s">
        <v>178</v>
      </c>
      <c r="B17" s="11" t="s">
        <v>179</v>
      </c>
      <c r="C17" s="18" t="s">
        <v>519</v>
      </c>
    </row>
    <row r="18" spans="1:3" ht="16.05" customHeight="1" x14ac:dyDescent="0.25">
      <c r="A18" s="21" t="s">
        <v>180</v>
      </c>
      <c r="B18" s="11" t="s">
        <v>181</v>
      </c>
      <c r="C18" s="18" t="s">
        <v>519</v>
      </c>
    </row>
    <row r="19" spans="1:3" ht="16.05" customHeight="1" x14ac:dyDescent="0.25">
      <c r="A19" s="21" t="s">
        <v>182</v>
      </c>
      <c r="B19" s="11" t="s">
        <v>70</v>
      </c>
      <c r="C19" s="18" t="s">
        <v>519</v>
      </c>
    </row>
    <row r="20" spans="1:3" ht="16.05" customHeight="1" x14ac:dyDescent="0.25">
      <c r="A20" s="21" t="s">
        <v>183</v>
      </c>
      <c r="B20" s="11" t="s">
        <v>184</v>
      </c>
      <c r="C20" s="18" t="s">
        <v>519</v>
      </c>
    </row>
    <row r="21" spans="1:3" ht="16.05" customHeight="1" x14ac:dyDescent="0.25">
      <c r="A21" s="21" t="s">
        <v>185</v>
      </c>
      <c r="B21" s="11" t="s">
        <v>72</v>
      </c>
      <c r="C21" s="18" t="s">
        <v>519</v>
      </c>
    </row>
    <row r="22" spans="1:3" ht="16.05" customHeight="1" x14ac:dyDescent="0.25">
      <c r="A22" s="21" t="s">
        <v>186</v>
      </c>
      <c r="B22" s="11" t="s">
        <v>187</v>
      </c>
      <c r="C22" s="18" t="s">
        <v>519</v>
      </c>
    </row>
    <row r="23" spans="1:3" ht="16.05" customHeight="1" x14ac:dyDescent="0.25">
      <c r="A23" s="21" t="s">
        <v>188</v>
      </c>
      <c r="B23" s="11" t="s">
        <v>189</v>
      </c>
      <c r="C23" s="18" t="s">
        <v>519</v>
      </c>
    </row>
    <row r="24" spans="1:3" ht="16.05" customHeight="1" x14ac:dyDescent="0.25">
      <c r="A24" s="21" t="s">
        <v>190</v>
      </c>
      <c r="B24" s="11" t="s">
        <v>75</v>
      </c>
      <c r="C24" s="18" t="s">
        <v>519</v>
      </c>
    </row>
    <row r="25" spans="1:3" ht="16.05" customHeight="1" x14ac:dyDescent="0.25">
      <c r="A25" s="21" t="s">
        <v>191</v>
      </c>
      <c r="B25" s="11" t="s">
        <v>192</v>
      </c>
      <c r="C25" s="18" t="s">
        <v>519</v>
      </c>
    </row>
    <row r="26" spans="1:3" ht="16.05" customHeight="1" x14ac:dyDescent="0.25">
      <c r="A26" s="21" t="s">
        <v>193</v>
      </c>
      <c r="B26" s="11" t="s">
        <v>77</v>
      </c>
      <c r="C26" s="18" t="s">
        <v>519</v>
      </c>
    </row>
    <row r="27" spans="1:3" ht="16.05" customHeight="1" x14ac:dyDescent="0.25">
      <c r="A27" s="21" t="s">
        <v>194</v>
      </c>
      <c r="B27" s="11" t="s">
        <v>195</v>
      </c>
      <c r="C27" s="18" t="s">
        <v>520</v>
      </c>
    </row>
    <row r="28" spans="1:3" ht="16.05" customHeight="1" x14ac:dyDescent="0.25">
      <c r="A28" s="21" t="s">
        <v>196</v>
      </c>
      <c r="B28" s="11" t="s">
        <v>374</v>
      </c>
      <c r="C28" s="18" t="s">
        <v>519</v>
      </c>
    </row>
    <row r="29" spans="1:3" ht="16.05" customHeight="1" x14ac:dyDescent="0.25">
      <c r="A29" s="21" t="s">
        <v>370</v>
      </c>
      <c r="B29" s="11" t="s">
        <v>375</v>
      </c>
      <c r="C29" s="18" t="s">
        <v>519</v>
      </c>
    </row>
    <row r="30" spans="1:3" ht="16.05" customHeight="1" x14ac:dyDescent="0.25">
      <c r="A30" s="21" t="s">
        <v>197</v>
      </c>
      <c r="B30" s="11" t="s">
        <v>198</v>
      </c>
      <c r="C30" s="18" t="s">
        <v>520</v>
      </c>
    </row>
    <row r="31" spans="1:3" ht="16.05" customHeight="1" x14ac:dyDescent="0.25">
      <c r="A31" s="21" t="s">
        <v>199</v>
      </c>
      <c r="B31" s="11" t="s">
        <v>78</v>
      </c>
      <c r="C31" s="18" t="s">
        <v>519</v>
      </c>
    </row>
    <row r="32" spans="1:3" ht="16.05" customHeight="1" x14ac:dyDescent="0.25">
      <c r="A32" s="21" t="s">
        <v>200</v>
      </c>
      <c r="B32" s="11" t="s">
        <v>336</v>
      </c>
      <c r="C32" s="18" t="s">
        <v>519</v>
      </c>
    </row>
    <row r="33" spans="1:3" ht="16.05" customHeight="1" x14ac:dyDescent="0.25">
      <c r="A33" s="21" t="s">
        <v>201</v>
      </c>
      <c r="B33" s="11" t="s">
        <v>25</v>
      </c>
      <c r="C33" s="18" t="s">
        <v>519</v>
      </c>
    </row>
    <row r="34" spans="1:3" ht="16.05" customHeight="1" x14ac:dyDescent="0.25">
      <c r="A34" s="21" t="s">
        <v>202</v>
      </c>
      <c r="B34" s="11" t="s">
        <v>203</v>
      </c>
      <c r="C34" s="18" t="s">
        <v>519</v>
      </c>
    </row>
    <row r="35" spans="1:3" ht="16.05" customHeight="1" x14ac:dyDescent="0.25">
      <c r="A35" s="21" t="s">
        <v>204</v>
      </c>
      <c r="B35" s="11" t="s">
        <v>3</v>
      </c>
      <c r="C35" s="18" t="s">
        <v>519</v>
      </c>
    </row>
    <row r="36" spans="1:3" ht="16.05" customHeight="1" x14ac:dyDescent="0.25">
      <c r="A36" s="21" t="s">
        <v>205</v>
      </c>
      <c r="B36" s="11" t="s">
        <v>206</v>
      </c>
      <c r="C36" s="18" t="s">
        <v>519</v>
      </c>
    </row>
    <row r="37" spans="1:3" ht="16.05" customHeight="1" x14ac:dyDescent="0.25">
      <c r="A37" s="21" t="s">
        <v>207</v>
      </c>
      <c r="B37" s="11" t="s">
        <v>29</v>
      </c>
      <c r="C37" s="18" t="s">
        <v>519</v>
      </c>
    </row>
    <row r="38" spans="1:3" ht="16.05" customHeight="1" x14ac:dyDescent="0.25">
      <c r="A38" s="12" t="s">
        <v>48</v>
      </c>
    </row>
    <row r="39" spans="1:3" ht="16.05" customHeight="1" x14ac:dyDescent="0.25">
      <c r="A39" s="21" t="s">
        <v>208</v>
      </c>
      <c r="B39" s="11" t="s">
        <v>209</v>
      </c>
      <c r="C39" s="18" t="s">
        <v>519</v>
      </c>
    </row>
    <row r="40" spans="1:3" ht="16.05" customHeight="1" x14ac:dyDescent="0.25">
      <c r="A40" s="21" t="s">
        <v>210</v>
      </c>
      <c r="B40" s="11" t="s">
        <v>211</v>
      </c>
      <c r="C40" s="18" t="s">
        <v>519</v>
      </c>
    </row>
    <row r="41" spans="1:3" ht="16.05" customHeight="1" x14ac:dyDescent="0.25">
      <c r="A41" s="21" t="s">
        <v>212</v>
      </c>
      <c r="B41" s="11" t="s">
        <v>213</v>
      </c>
      <c r="C41" s="18" t="s">
        <v>519</v>
      </c>
    </row>
    <row r="42" spans="1:3" ht="16.05" customHeight="1" x14ac:dyDescent="0.25">
      <c r="A42" s="21" t="s">
        <v>214</v>
      </c>
      <c r="B42" s="11" t="s">
        <v>215</v>
      </c>
      <c r="C42" s="18" t="s">
        <v>519</v>
      </c>
    </row>
    <row r="43" spans="1:3" ht="16.05" customHeight="1" x14ac:dyDescent="0.25">
      <c r="A43" s="21" t="s">
        <v>367</v>
      </c>
      <c r="B43" s="11" t="s">
        <v>8</v>
      </c>
      <c r="C43" s="18" t="s">
        <v>519</v>
      </c>
    </row>
    <row r="44" spans="1:3" ht="16.05" customHeight="1" x14ac:dyDescent="0.25">
      <c r="A44" s="21" t="s">
        <v>216</v>
      </c>
      <c r="B44" s="11" t="s">
        <v>217</v>
      </c>
      <c r="C44" s="18" t="s">
        <v>519</v>
      </c>
    </row>
    <row r="45" spans="1:3" ht="16.05" customHeight="1" x14ac:dyDescent="0.25">
      <c r="A45" s="21" t="s">
        <v>218</v>
      </c>
      <c r="B45" s="11" t="s">
        <v>371</v>
      </c>
      <c r="C45" s="18" t="s">
        <v>519</v>
      </c>
    </row>
    <row r="46" spans="1:3" ht="16.05" customHeight="1" x14ac:dyDescent="0.25">
      <c r="A46" s="21" t="s">
        <v>219</v>
      </c>
      <c r="B46" s="11" t="s">
        <v>32</v>
      </c>
      <c r="C46" s="18" t="s">
        <v>519</v>
      </c>
    </row>
    <row r="47" spans="1:3" ht="16.05" customHeight="1" x14ac:dyDescent="0.25">
      <c r="A47" s="21" t="s">
        <v>220</v>
      </c>
      <c r="B47" s="11" t="s">
        <v>31</v>
      </c>
      <c r="C47" s="18" t="s">
        <v>519</v>
      </c>
    </row>
    <row r="48" spans="1:3" ht="16.05" customHeight="1" x14ac:dyDescent="0.25">
      <c r="A48" s="21" t="s">
        <v>221</v>
      </c>
      <c r="B48" s="11" t="s">
        <v>222</v>
      </c>
      <c r="C48" s="18" t="s">
        <v>519</v>
      </c>
    </row>
    <row r="49" spans="1:3" ht="16.05" customHeight="1" x14ac:dyDescent="0.25">
      <c r="A49" s="21" t="s">
        <v>223</v>
      </c>
      <c r="B49" s="11" t="s">
        <v>80</v>
      </c>
      <c r="C49" s="18" t="s">
        <v>519</v>
      </c>
    </row>
    <row r="50" spans="1:3" ht="16.05" customHeight="1" x14ac:dyDescent="0.25">
      <c r="A50" s="12" t="s">
        <v>49</v>
      </c>
    </row>
    <row r="51" spans="1:3" ht="16.05" customHeight="1" x14ac:dyDescent="0.25">
      <c r="A51" s="21" t="s">
        <v>238</v>
      </c>
      <c r="B51" s="11" t="s">
        <v>298</v>
      </c>
      <c r="C51" s="18" t="s">
        <v>519</v>
      </c>
    </row>
    <row r="52" spans="1:3" ht="16.05" customHeight="1" x14ac:dyDescent="0.25">
      <c r="A52" s="21" t="s">
        <v>239</v>
      </c>
      <c r="B52" s="11" t="s">
        <v>372</v>
      </c>
      <c r="C52" s="18" t="s">
        <v>519</v>
      </c>
    </row>
    <row r="53" spans="1:3" ht="16.05" customHeight="1" x14ac:dyDescent="0.25">
      <c r="A53" s="21" t="s">
        <v>240</v>
      </c>
      <c r="B53" s="11" t="s">
        <v>12</v>
      </c>
      <c r="C53" s="18" t="s">
        <v>519</v>
      </c>
    </row>
    <row r="54" spans="1:3" ht="16.05" customHeight="1" x14ac:dyDescent="0.25">
      <c r="A54" s="12" t="s">
        <v>50</v>
      </c>
    </row>
    <row r="55" spans="1:3" ht="16.05" customHeight="1" x14ac:dyDescent="0.25">
      <c r="A55" s="21" t="s">
        <v>224</v>
      </c>
      <c r="B55" s="11" t="s">
        <v>17</v>
      </c>
      <c r="C55" s="18" t="s">
        <v>519</v>
      </c>
    </row>
    <row r="56" spans="1:3" ht="16.05" customHeight="1" x14ac:dyDescent="0.25">
      <c r="A56" s="21" t="s">
        <v>225</v>
      </c>
      <c r="B56" s="11" t="s">
        <v>226</v>
      </c>
      <c r="C56" s="18" t="s">
        <v>519</v>
      </c>
    </row>
    <row r="57" spans="1:3" ht="16.05" customHeight="1" x14ac:dyDescent="0.25">
      <c r="A57" s="21" t="s">
        <v>227</v>
      </c>
      <c r="B57" s="11" t="s">
        <v>121</v>
      </c>
      <c r="C57" s="18" t="s">
        <v>519</v>
      </c>
    </row>
    <row r="58" spans="1:3" ht="16.05" customHeight="1" x14ac:dyDescent="0.25">
      <c r="A58" s="21" t="s">
        <v>369</v>
      </c>
      <c r="B58" s="11" t="s">
        <v>18</v>
      </c>
      <c r="C58" s="18" t="s">
        <v>519</v>
      </c>
    </row>
    <row r="59" spans="1:3" ht="16.05" customHeight="1" x14ac:dyDescent="0.25">
      <c r="A59" s="21" t="s">
        <v>228</v>
      </c>
      <c r="B59" s="11" t="s">
        <v>42</v>
      </c>
      <c r="C59" s="18" t="s">
        <v>519</v>
      </c>
    </row>
    <row r="60" spans="1:3" ht="16.05" customHeight="1" x14ac:dyDescent="0.25">
      <c r="A60" s="21" t="s">
        <v>229</v>
      </c>
      <c r="B60" s="11" t="s">
        <v>230</v>
      </c>
      <c r="C60" s="18" t="s">
        <v>519</v>
      </c>
    </row>
    <row r="61" spans="1:3" ht="16.05" customHeight="1" x14ac:dyDescent="0.25">
      <c r="A61" s="21" t="s">
        <v>231</v>
      </c>
      <c r="B61" s="11" t="s">
        <v>232</v>
      </c>
      <c r="C61" s="18" t="s">
        <v>519</v>
      </c>
    </row>
    <row r="62" spans="1:3" ht="16.05" customHeight="1" x14ac:dyDescent="0.25">
      <c r="A62" s="21" t="s">
        <v>233</v>
      </c>
      <c r="B62" s="11" t="s">
        <v>234</v>
      </c>
      <c r="C62" s="18" t="s">
        <v>519</v>
      </c>
    </row>
    <row r="63" spans="1:3" ht="16.05" customHeight="1" x14ac:dyDescent="0.25">
      <c r="A63" s="21" t="s">
        <v>235</v>
      </c>
      <c r="B63" s="11" t="s">
        <v>39</v>
      </c>
      <c r="C63" s="18" t="s">
        <v>519</v>
      </c>
    </row>
    <row r="64" spans="1:3" ht="16.05" customHeight="1" x14ac:dyDescent="0.25">
      <c r="A64" s="21" t="s">
        <v>236</v>
      </c>
      <c r="B64" s="11" t="s">
        <v>45</v>
      </c>
      <c r="C64" s="18" t="s">
        <v>519</v>
      </c>
    </row>
    <row r="65" spans="1:3" ht="16.05" customHeight="1" x14ac:dyDescent="0.25">
      <c r="A65" s="21" t="s">
        <v>237</v>
      </c>
      <c r="B65" s="11" t="s">
        <v>40</v>
      </c>
      <c r="C65" s="18" t="s">
        <v>519</v>
      </c>
    </row>
    <row r="66" spans="1:3" ht="16.05" customHeight="1" x14ac:dyDescent="0.25">
      <c r="A66" s="12" t="s">
        <v>368</v>
      </c>
    </row>
  </sheetData>
  <sheetProtection algorithmName="SHA-512" hashValue="/1hU/ddUoyVAUvjcDAoxFjHUcWtjn4WynI6HtDPtrihtQdJYmjvbDirX+q6tggge8lTvYRxLduaX2P01PXuc4Q==" saltValue="phWDetake8hQSjqWv/zaTA==" spinCount="100000" sheet="1" objects="1" scenarios="1"/>
  <conditionalFormatting sqref="C4">
    <cfRule type="expression" dxfId="17" priority="1" stopIfTrue="1">
      <formula>COUNTIF(ClassError,"add!")&gt;0</formula>
    </cfRule>
  </conditionalFormatting>
  <pageMargins left="0.55118110236220474" right="0.55118110236220474" top="0.55118110236220474" bottom="0.55118110236220474" header="0.39370078740157483" footer="0.39370078740157483"/>
  <pageSetup paperSize="9" scale="76" orientation="portrait" r:id="rId1"/>
  <headerFooter>
    <oddFooter>&amp;C&amp;"-,Regular"&amp;9Page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92"/>
  <sheetViews>
    <sheetView tabSelected="1" zoomScale="95" zoomScaleNormal="95" workbookViewId="0">
      <pane ySplit="4" topLeftCell="A5" activePane="bottomLeft" state="frozen"/>
      <selection pane="bottomLeft" activeCell="D4" sqref="D4"/>
    </sheetView>
  </sheetViews>
  <sheetFormatPr defaultColWidth="9.109375" defaultRowHeight="16.05" customHeight="1" x14ac:dyDescent="0.25"/>
  <cols>
    <col min="1" max="1" width="9.109375" style="18"/>
    <col min="2" max="2" width="12.6640625" style="23" customWidth="1"/>
    <col min="3" max="3" width="10.6640625" style="24" customWidth="1"/>
    <col min="4" max="4" width="36.109375" style="24" customWidth="1"/>
    <col min="5" max="13" width="14.6640625" style="25" customWidth="1"/>
    <col min="14" max="16384" width="9.109375" style="11"/>
  </cols>
  <sheetData>
    <row r="1" spans="1:13" ht="16.05" customHeight="1" x14ac:dyDescent="0.25">
      <c r="A1" s="8" t="s">
        <v>517</v>
      </c>
    </row>
    <row r="2" spans="1:13" ht="16.05" customHeight="1" x14ac:dyDescent="0.25">
      <c r="A2" s="26" t="s">
        <v>124</v>
      </c>
    </row>
    <row r="3" spans="1:13" ht="16.05" customHeight="1" x14ac:dyDescent="0.25">
      <c r="A3" s="27" t="s">
        <v>518</v>
      </c>
      <c r="E3" s="25">
        <v>0</v>
      </c>
      <c r="F3" s="25">
        <v>0</v>
      </c>
      <c r="G3" s="25">
        <v>0</v>
      </c>
      <c r="H3" s="25">
        <v>0</v>
      </c>
      <c r="I3" s="25">
        <v>0</v>
      </c>
      <c r="J3" s="25">
        <v>0</v>
      </c>
      <c r="K3" s="25">
        <v>0</v>
      </c>
      <c r="L3" s="25">
        <v>0</v>
      </c>
      <c r="M3" s="25">
        <v>0</v>
      </c>
    </row>
    <row r="4" spans="1:13" s="30" customFormat="1" ht="18" customHeight="1" x14ac:dyDescent="0.25">
      <c r="A4" s="28" t="s">
        <v>366</v>
      </c>
      <c r="B4" s="19" t="s">
        <v>5</v>
      </c>
      <c r="C4" s="19" t="s">
        <v>33</v>
      </c>
      <c r="D4" s="19" t="s">
        <v>6</v>
      </c>
      <c r="E4" s="29">
        <v>2019</v>
      </c>
      <c r="F4" s="29">
        <v>2020</v>
      </c>
      <c r="G4" s="29">
        <v>2021</v>
      </c>
      <c r="H4" s="29">
        <v>2022</v>
      </c>
      <c r="I4" s="29">
        <v>2023</v>
      </c>
      <c r="J4" s="29">
        <v>2024</v>
      </c>
      <c r="K4" s="29">
        <v>2025</v>
      </c>
      <c r="L4" s="29">
        <v>2026</v>
      </c>
      <c r="M4" s="29">
        <v>2027</v>
      </c>
    </row>
    <row r="5" spans="1:13" ht="16.05" customHeight="1" x14ac:dyDescent="0.25">
      <c r="A5" s="18" t="s">
        <v>519</v>
      </c>
      <c r="B5" s="31" t="s">
        <v>208</v>
      </c>
      <c r="C5" s="24" t="s">
        <v>241</v>
      </c>
      <c r="D5" s="24" t="s">
        <v>104</v>
      </c>
      <c r="E5" s="25">
        <v>2500000</v>
      </c>
      <c r="F5" s="32">
        <v>2500000</v>
      </c>
      <c r="G5" s="25">
        <v>2500000</v>
      </c>
      <c r="H5" s="25">
        <v>2500000</v>
      </c>
      <c r="I5" s="25">
        <v>0</v>
      </c>
      <c r="J5" s="25">
        <v>0</v>
      </c>
      <c r="K5" s="25">
        <v>0</v>
      </c>
      <c r="L5" s="25">
        <v>0</v>
      </c>
      <c r="M5" s="25">
        <v>0</v>
      </c>
    </row>
    <row r="6" spans="1:13" ht="16.05" customHeight="1" x14ac:dyDescent="0.25">
      <c r="A6" s="18" t="s">
        <v>519</v>
      </c>
      <c r="B6" s="33" t="s">
        <v>208</v>
      </c>
      <c r="C6" s="24" t="s">
        <v>242</v>
      </c>
      <c r="D6" s="24" t="s">
        <v>105</v>
      </c>
      <c r="E6" s="25">
        <v>950300</v>
      </c>
      <c r="F6" s="32">
        <v>1246045</v>
      </c>
      <c r="G6" s="25">
        <v>1316045</v>
      </c>
      <c r="H6" s="25">
        <v>1546045</v>
      </c>
      <c r="I6" s="25">
        <v>0</v>
      </c>
      <c r="J6" s="25">
        <v>0</v>
      </c>
      <c r="K6" s="25">
        <v>0</v>
      </c>
      <c r="L6" s="25">
        <v>0</v>
      </c>
      <c r="M6" s="25">
        <v>0</v>
      </c>
    </row>
    <row r="7" spans="1:13" ht="16.05" customHeight="1" x14ac:dyDescent="0.25">
      <c r="A7" s="18" t="s">
        <v>519</v>
      </c>
      <c r="B7" s="33" t="s">
        <v>208</v>
      </c>
      <c r="C7" s="24" t="s">
        <v>243</v>
      </c>
      <c r="D7" s="24" t="s">
        <v>106</v>
      </c>
      <c r="E7" s="25">
        <v>285600</v>
      </c>
      <c r="F7" s="32">
        <v>300000</v>
      </c>
      <c r="G7" s="25">
        <v>350000</v>
      </c>
      <c r="H7" s="25">
        <v>410000</v>
      </c>
      <c r="I7" s="25">
        <v>0</v>
      </c>
      <c r="J7" s="25">
        <v>0</v>
      </c>
      <c r="K7" s="25">
        <v>0</v>
      </c>
      <c r="L7" s="25">
        <v>0</v>
      </c>
      <c r="M7" s="25">
        <v>0</v>
      </c>
    </row>
    <row r="8" spans="1:13" ht="16.05" customHeight="1" x14ac:dyDescent="0.25">
      <c r="A8" s="18" t="s">
        <v>519</v>
      </c>
      <c r="B8" s="33" t="s">
        <v>208</v>
      </c>
      <c r="C8" s="24" t="s">
        <v>244</v>
      </c>
      <c r="D8" s="24" t="s">
        <v>245</v>
      </c>
      <c r="E8" s="25">
        <v>182630</v>
      </c>
      <c r="F8" s="32">
        <v>225000</v>
      </c>
      <c r="G8" s="25">
        <v>240000</v>
      </c>
      <c r="H8" s="25">
        <v>240000</v>
      </c>
      <c r="I8" s="25">
        <v>0</v>
      </c>
      <c r="J8" s="25">
        <v>0</v>
      </c>
      <c r="K8" s="25">
        <v>0</v>
      </c>
      <c r="L8" s="25">
        <v>0</v>
      </c>
      <c r="M8" s="25">
        <v>0</v>
      </c>
    </row>
    <row r="9" spans="1:13" ht="16.05" customHeight="1" x14ac:dyDescent="0.25">
      <c r="A9" s="18" t="s">
        <v>519</v>
      </c>
      <c r="B9" s="33" t="s">
        <v>208</v>
      </c>
      <c r="C9" s="24" t="s">
        <v>246</v>
      </c>
      <c r="D9" s="24" t="s">
        <v>247</v>
      </c>
      <c r="E9" s="25">
        <v>65880</v>
      </c>
      <c r="F9" s="32">
        <v>120750</v>
      </c>
      <c r="G9" s="25">
        <v>150500</v>
      </c>
      <c r="H9" s="25">
        <v>165500</v>
      </c>
      <c r="I9" s="25">
        <v>0</v>
      </c>
      <c r="J9" s="25">
        <v>0</v>
      </c>
      <c r="K9" s="25">
        <v>0</v>
      </c>
      <c r="L9" s="25">
        <v>0</v>
      </c>
      <c r="M9" s="25">
        <v>0</v>
      </c>
    </row>
    <row r="10" spans="1:13" ht="16.05" customHeight="1" x14ac:dyDescent="0.25">
      <c r="A10" s="18" t="s">
        <v>519</v>
      </c>
      <c r="B10" s="33" t="s">
        <v>208</v>
      </c>
      <c r="C10" s="24" t="s">
        <v>248</v>
      </c>
      <c r="D10" s="24" t="s">
        <v>249</v>
      </c>
      <c r="E10" s="25">
        <v>318000</v>
      </c>
      <c r="F10" s="32">
        <v>318000</v>
      </c>
      <c r="G10" s="25">
        <v>318000</v>
      </c>
      <c r="H10" s="25">
        <v>318000</v>
      </c>
      <c r="I10" s="25">
        <v>0</v>
      </c>
      <c r="J10" s="25">
        <v>0</v>
      </c>
      <c r="K10" s="25">
        <v>0</v>
      </c>
      <c r="L10" s="25">
        <v>0</v>
      </c>
      <c r="M10" s="25">
        <v>0</v>
      </c>
    </row>
    <row r="11" spans="1:13" ht="16.05" customHeight="1" x14ac:dyDescent="0.25">
      <c r="A11" s="18" t="s">
        <v>519</v>
      </c>
      <c r="B11" s="33" t="s">
        <v>210</v>
      </c>
      <c r="C11" s="24" t="s">
        <v>250</v>
      </c>
      <c r="D11" s="24" t="s">
        <v>107</v>
      </c>
      <c r="E11" s="25">
        <v>0</v>
      </c>
      <c r="F11" s="32">
        <v>0</v>
      </c>
      <c r="G11" s="25">
        <v>0</v>
      </c>
      <c r="H11" s="25">
        <v>0</v>
      </c>
      <c r="I11" s="25">
        <v>0</v>
      </c>
      <c r="J11" s="25">
        <v>0</v>
      </c>
      <c r="K11" s="25">
        <v>0</v>
      </c>
      <c r="L11" s="25">
        <v>0</v>
      </c>
      <c r="M11" s="25">
        <v>0</v>
      </c>
    </row>
    <row r="12" spans="1:13" ht="16.05" customHeight="1" x14ac:dyDescent="0.25">
      <c r="A12" s="18" t="s">
        <v>519</v>
      </c>
      <c r="B12" s="33" t="s">
        <v>210</v>
      </c>
      <c r="C12" s="24" t="s">
        <v>251</v>
      </c>
      <c r="D12" s="24" t="s">
        <v>108</v>
      </c>
      <c r="E12" s="25">
        <v>-300120</v>
      </c>
      <c r="F12" s="32">
        <v>-498418</v>
      </c>
      <c r="G12" s="25">
        <v>-712418</v>
      </c>
      <c r="H12" s="25">
        <v>-1051018</v>
      </c>
      <c r="I12" s="25">
        <v>0</v>
      </c>
      <c r="J12" s="25">
        <v>0</v>
      </c>
      <c r="K12" s="25">
        <v>0</v>
      </c>
      <c r="L12" s="25">
        <v>0</v>
      </c>
      <c r="M12" s="25">
        <v>0</v>
      </c>
    </row>
    <row r="13" spans="1:13" ht="16.05" customHeight="1" x14ac:dyDescent="0.25">
      <c r="A13" s="18" t="s">
        <v>519</v>
      </c>
      <c r="B13" s="33" t="s">
        <v>210</v>
      </c>
      <c r="C13" s="24" t="s">
        <v>252</v>
      </c>
      <c r="D13" s="24" t="s">
        <v>109</v>
      </c>
      <c r="E13" s="25">
        <v>-75200</v>
      </c>
      <c r="F13" s="32">
        <v>-100000</v>
      </c>
      <c r="G13" s="25">
        <v>-158300</v>
      </c>
      <c r="H13" s="25">
        <v>-224700</v>
      </c>
      <c r="I13" s="25">
        <v>0</v>
      </c>
      <c r="J13" s="25">
        <v>0</v>
      </c>
      <c r="K13" s="25">
        <v>0</v>
      </c>
      <c r="L13" s="25">
        <v>0</v>
      </c>
      <c r="M13" s="25">
        <v>0</v>
      </c>
    </row>
    <row r="14" spans="1:13" ht="16.05" customHeight="1" x14ac:dyDescent="0.25">
      <c r="A14" s="18" t="s">
        <v>519</v>
      </c>
      <c r="B14" s="33" t="s">
        <v>210</v>
      </c>
      <c r="C14" s="24" t="s">
        <v>253</v>
      </c>
      <c r="D14" s="24" t="s">
        <v>254</v>
      </c>
      <c r="E14" s="25">
        <v>-53052</v>
      </c>
      <c r="F14" s="32">
        <v>-91500</v>
      </c>
      <c r="G14" s="25">
        <v>-139850</v>
      </c>
      <c r="H14" s="25">
        <v>-186980</v>
      </c>
      <c r="I14" s="25">
        <v>0</v>
      </c>
      <c r="J14" s="25">
        <v>0</v>
      </c>
      <c r="K14" s="25">
        <v>0</v>
      </c>
      <c r="L14" s="25">
        <v>0</v>
      </c>
      <c r="M14" s="25">
        <v>0</v>
      </c>
    </row>
    <row r="15" spans="1:13" ht="16.05" customHeight="1" x14ac:dyDescent="0.25">
      <c r="A15" s="18" t="s">
        <v>519</v>
      </c>
      <c r="B15" s="33" t="s">
        <v>210</v>
      </c>
      <c r="C15" s="24" t="s">
        <v>255</v>
      </c>
      <c r="D15" s="24" t="s">
        <v>256</v>
      </c>
      <c r="E15" s="25">
        <v>-43920</v>
      </c>
      <c r="F15" s="32">
        <v>-80500</v>
      </c>
      <c r="G15" s="25">
        <v>-130650</v>
      </c>
      <c r="H15" s="25">
        <v>-145550</v>
      </c>
      <c r="I15" s="25">
        <v>0</v>
      </c>
      <c r="J15" s="25">
        <v>0</v>
      </c>
      <c r="K15" s="25">
        <v>0</v>
      </c>
      <c r="L15" s="25">
        <v>0</v>
      </c>
      <c r="M15" s="25">
        <v>0</v>
      </c>
    </row>
    <row r="16" spans="1:13" ht="16.05" customHeight="1" x14ac:dyDescent="0.25">
      <c r="A16" s="18" t="s">
        <v>519</v>
      </c>
      <c r="B16" s="33" t="s">
        <v>210</v>
      </c>
      <c r="C16" s="24" t="s">
        <v>257</v>
      </c>
      <c r="D16" s="24" t="s">
        <v>258</v>
      </c>
      <c r="E16" s="25">
        <v>-79500</v>
      </c>
      <c r="F16" s="32">
        <v>-159000</v>
      </c>
      <c r="G16" s="25">
        <v>-238500</v>
      </c>
      <c r="H16" s="25">
        <v>-318000</v>
      </c>
      <c r="I16" s="25">
        <v>0</v>
      </c>
      <c r="J16" s="25">
        <v>0</v>
      </c>
      <c r="K16" s="25">
        <v>0</v>
      </c>
      <c r="L16" s="25">
        <v>0</v>
      </c>
      <c r="M16" s="25">
        <v>0</v>
      </c>
    </row>
    <row r="17" spans="1:13" ht="16.05" customHeight="1" x14ac:dyDescent="0.25">
      <c r="A17" s="18" t="s">
        <v>519</v>
      </c>
      <c r="B17" s="33" t="s">
        <v>212</v>
      </c>
      <c r="C17" s="24" t="s">
        <v>259</v>
      </c>
      <c r="D17" s="24" t="s">
        <v>110</v>
      </c>
      <c r="E17" s="25">
        <v>500000</v>
      </c>
      <c r="F17" s="32">
        <v>500000</v>
      </c>
      <c r="G17" s="25">
        <v>500000</v>
      </c>
      <c r="H17" s="25">
        <v>500000</v>
      </c>
      <c r="I17" s="25">
        <v>0</v>
      </c>
      <c r="J17" s="25">
        <v>0</v>
      </c>
      <c r="K17" s="25">
        <v>0</v>
      </c>
      <c r="L17" s="25">
        <v>0</v>
      </c>
      <c r="M17" s="25">
        <v>0</v>
      </c>
    </row>
    <row r="18" spans="1:13" ht="16.05" customHeight="1" x14ac:dyDescent="0.25">
      <c r="A18" s="18" t="s">
        <v>519</v>
      </c>
      <c r="B18" s="33" t="s">
        <v>212</v>
      </c>
      <c r="C18" s="24" t="s">
        <v>260</v>
      </c>
      <c r="D18" s="24" t="s">
        <v>111</v>
      </c>
      <c r="E18" s="25">
        <v>390500</v>
      </c>
      <c r="F18" s="32">
        <v>390500</v>
      </c>
      <c r="G18" s="25">
        <v>390500</v>
      </c>
      <c r="H18" s="25">
        <v>390500</v>
      </c>
      <c r="I18" s="25">
        <v>0</v>
      </c>
      <c r="J18" s="25">
        <v>0</v>
      </c>
      <c r="K18" s="25">
        <v>0</v>
      </c>
      <c r="L18" s="25">
        <v>0</v>
      </c>
      <c r="M18" s="25">
        <v>0</v>
      </c>
    </row>
    <row r="19" spans="1:13" ht="16.05" customHeight="1" x14ac:dyDescent="0.25">
      <c r="A19" s="18" t="s">
        <v>519</v>
      </c>
      <c r="B19" s="33" t="s">
        <v>212</v>
      </c>
      <c r="C19" s="24" t="s">
        <v>261</v>
      </c>
      <c r="D19" s="24" t="s">
        <v>112</v>
      </c>
      <c r="E19" s="25">
        <v>150000</v>
      </c>
      <c r="F19" s="32">
        <v>150000</v>
      </c>
      <c r="G19" s="25">
        <v>150000</v>
      </c>
      <c r="H19" s="25">
        <v>150000</v>
      </c>
      <c r="I19" s="25">
        <v>0</v>
      </c>
      <c r="J19" s="25">
        <v>0</v>
      </c>
      <c r="K19" s="25">
        <v>0</v>
      </c>
      <c r="L19" s="25">
        <v>0</v>
      </c>
      <c r="M19" s="25">
        <v>0</v>
      </c>
    </row>
    <row r="20" spans="1:13" ht="16.05" customHeight="1" x14ac:dyDescent="0.25">
      <c r="A20" s="18" t="s">
        <v>519</v>
      </c>
      <c r="B20" s="33" t="s">
        <v>214</v>
      </c>
      <c r="C20" s="24" t="s">
        <v>262</v>
      </c>
      <c r="D20" s="24" t="s">
        <v>113</v>
      </c>
      <c r="E20" s="25">
        <v>-50000</v>
      </c>
      <c r="F20" s="32">
        <v>-100000</v>
      </c>
      <c r="G20" s="25">
        <v>-150000</v>
      </c>
      <c r="H20" s="25">
        <v>-200000</v>
      </c>
      <c r="I20" s="25">
        <v>0</v>
      </c>
      <c r="J20" s="25">
        <v>0</v>
      </c>
      <c r="K20" s="25">
        <v>0</v>
      </c>
      <c r="L20" s="25">
        <v>0</v>
      </c>
      <c r="M20" s="25">
        <v>0</v>
      </c>
    </row>
    <row r="21" spans="1:13" ht="16.05" customHeight="1" x14ac:dyDescent="0.25">
      <c r="A21" s="18" t="s">
        <v>519</v>
      </c>
      <c r="B21" s="33" t="s">
        <v>214</v>
      </c>
      <c r="C21" s="24" t="s">
        <v>263</v>
      </c>
      <c r="D21" s="24" t="s">
        <v>114</v>
      </c>
      <c r="E21" s="25">
        <v>-39050</v>
      </c>
      <c r="F21" s="32">
        <v>-78100</v>
      </c>
      <c r="G21" s="25">
        <v>-117150</v>
      </c>
      <c r="H21" s="25">
        <v>-156200</v>
      </c>
      <c r="I21" s="25">
        <v>0</v>
      </c>
      <c r="J21" s="25">
        <v>0</v>
      </c>
      <c r="K21" s="25">
        <v>0</v>
      </c>
      <c r="L21" s="25">
        <v>0</v>
      </c>
      <c r="M21" s="25">
        <v>0</v>
      </c>
    </row>
    <row r="22" spans="1:13" ht="16.05" customHeight="1" x14ac:dyDescent="0.25">
      <c r="A22" s="18" t="s">
        <v>519</v>
      </c>
      <c r="B22" s="33" t="s">
        <v>214</v>
      </c>
      <c r="C22" s="24" t="s">
        <v>264</v>
      </c>
      <c r="D22" s="24" t="s">
        <v>115</v>
      </c>
      <c r="E22" s="25">
        <v>-15000</v>
      </c>
      <c r="F22" s="32">
        <v>-30000</v>
      </c>
      <c r="G22" s="25">
        <v>-45000</v>
      </c>
      <c r="H22" s="25">
        <v>-60000</v>
      </c>
      <c r="I22" s="25">
        <v>0</v>
      </c>
      <c r="J22" s="25">
        <v>0</v>
      </c>
      <c r="K22" s="25">
        <v>0</v>
      </c>
      <c r="L22" s="25">
        <v>0</v>
      </c>
      <c r="M22" s="25">
        <v>0</v>
      </c>
    </row>
    <row r="23" spans="1:13" ht="16.05" customHeight="1" x14ac:dyDescent="0.25">
      <c r="A23" s="18" t="s">
        <v>519</v>
      </c>
      <c r="B23" s="33" t="s">
        <v>367</v>
      </c>
      <c r="C23" s="24" t="s">
        <v>265</v>
      </c>
      <c r="D23" s="24" t="s">
        <v>266</v>
      </c>
      <c r="E23" s="25">
        <v>0</v>
      </c>
      <c r="F23" s="32">
        <v>0</v>
      </c>
      <c r="G23" s="25">
        <v>802500</v>
      </c>
      <c r="H23" s="25">
        <v>802500</v>
      </c>
      <c r="I23" s="25">
        <v>0</v>
      </c>
      <c r="J23" s="25">
        <v>0</v>
      </c>
      <c r="K23" s="25">
        <v>0</v>
      </c>
      <c r="L23" s="25">
        <v>0</v>
      </c>
      <c r="M23" s="25">
        <v>0</v>
      </c>
    </row>
    <row r="24" spans="1:13" ht="16.05" customHeight="1" x14ac:dyDescent="0.25">
      <c r="A24" s="18" t="s">
        <v>519</v>
      </c>
      <c r="B24" s="33" t="s">
        <v>367</v>
      </c>
      <c r="C24" s="24" t="s">
        <v>267</v>
      </c>
      <c r="D24" s="24" t="s">
        <v>268</v>
      </c>
      <c r="E24" s="25">
        <v>200000</v>
      </c>
      <c r="F24" s="32">
        <v>300000</v>
      </c>
      <c r="G24" s="25">
        <v>980000</v>
      </c>
      <c r="H24" s="25">
        <v>1500000</v>
      </c>
      <c r="I24" s="25">
        <v>0</v>
      </c>
      <c r="J24" s="25">
        <v>0</v>
      </c>
      <c r="K24" s="25">
        <v>0</v>
      </c>
      <c r="L24" s="25">
        <v>0</v>
      </c>
      <c r="M24" s="25">
        <v>0</v>
      </c>
    </row>
    <row r="25" spans="1:13" ht="16.05" customHeight="1" x14ac:dyDescent="0.25">
      <c r="A25" s="18" t="s">
        <v>519</v>
      </c>
      <c r="B25" s="33" t="s">
        <v>216</v>
      </c>
      <c r="C25" s="24" t="s">
        <v>269</v>
      </c>
      <c r="D25" s="24" t="s">
        <v>270</v>
      </c>
      <c r="E25" s="25">
        <v>22530</v>
      </c>
      <c r="F25" s="32">
        <v>30220</v>
      </c>
      <c r="G25" s="25">
        <v>48200</v>
      </c>
      <c r="H25" s="25">
        <v>60000</v>
      </c>
      <c r="I25" s="25">
        <v>0</v>
      </c>
      <c r="J25" s="25">
        <v>0</v>
      </c>
      <c r="K25" s="25">
        <v>0</v>
      </c>
      <c r="L25" s="25">
        <v>0</v>
      </c>
      <c r="M25" s="25">
        <v>0</v>
      </c>
    </row>
    <row r="26" spans="1:13" ht="16.05" customHeight="1" x14ac:dyDescent="0.25">
      <c r="A26" s="18" t="s">
        <v>519</v>
      </c>
      <c r="B26" s="33" t="s">
        <v>219</v>
      </c>
      <c r="C26" s="24" t="s">
        <v>271</v>
      </c>
      <c r="D26" s="24" t="s">
        <v>272</v>
      </c>
      <c r="E26" s="25">
        <v>0</v>
      </c>
      <c r="F26" s="25">
        <v>0</v>
      </c>
      <c r="G26" s="25">
        <v>0</v>
      </c>
      <c r="H26" s="25">
        <v>0</v>
      </c>
      <c r="I26" s="25">
        <v>0</v>
      </c>
      <c r="J26" s="25">
        <v>0</v>
      </c>
      <c r="K26" s="25">
        <v>0</v>
      </c>
      <c r="L26" s="25">
        <v>0</v>
      </c>
      <c r="M26" s="25">
        <v>0</v>
      </c>
    </row>
    <row r="27" spans="1:13" ht="16.05" customHeight="1" x14ac:dyDescent="0.25">
      <c r="A27" s="18" t="s">
        <v>519</v>
      </c>
      <c r="B27" s="33" t="s">
        <v>219</v>
      </c>
      <c r="C27" s="24" t="s">
        <v>273</v>
      </c>
      <c r="D27" s="24" t="s">
        <v>274</v>
      </c>
      <c r="E27" s="25">
        <v>0</v>
      </c>
      <c r="F27" s="25">
        <v>0</v>
      </c>
      <c r="G27" s="25">
        <v>0</v>
      </c>
      <c r="H27" s="25">
        <v>0</v>
      </c>
      <c r="I27" s="25">
        <v>0</v>
      </c>
      <c r="J27" s="25">
        <v>0</v>
      </c>
      <c r="K27" s="25">
        <v>0</v>
      </c>
      <c r="L27" s="25">
        <v>0</v>
      </c>
      <c r="M27" s="25">
        <v>0</v>
      </c>
    </row>
    <row r="28" spans="1:13" ht="16.05" customHeight="1" x14ac:dyDescent="0.25">
      <c r="A28" s="18" t="s">
        <v>519</v>
      </c>
      <c r="B28" s="33" t="s">
        <v>221</v>
      </c>
      <c r="C28" s="24" t="s">
        <v>275</v>
      </c>
      <c r="D28" s="24" t="s">
        <v>276</v>
      </c>
      <c r="E28" s="25">
        <v>0</v>
      </c>
      <c r="F28" s="25">
        <v>0</v>
      </c>
      <c r="G28" s="25">
        <v>0</v>
      </c>
      <c r="H28" s="25">
        <v>0</v>
      </c>
      <c r="I28" s="25">
        <v>0</v>
      </c>
      <c r="J28" s="25">
        <v>0</v>
      </c>
      <c r="K28" s="25">
        <v>0</v>
      </c>
      <c r="L28" s="25">
        <v>0</v>
      </c>
      <c r="M28" s="25">
        <v>0</v>
      </c>
    </row>
    <row r="29" spans="1:13" ht="16.05" customHeight="1" x14ac:dyDescent="0.25">
      <c r="A29" s="18" t="s">
        <v>519</v>
      </c>
      <c r="B29" s="33" t="s">
        <v>221</v>
      </c>
      <c r="C29" s="24" t="s">
        <v>277</v>
      </c>
      <c r="D29" s="24" t="s">
        <v>117</v>
      </c>
      <c r="E29" s="25">
        <v>12000</v>
      </c>
      <c r="F29" s="25">
        <v>22600</v>
      </c>
      <c r="G29" s="25">
        <v>44500</v>
      </c>
      <c r="H29" s="25">
        <v>24000</v>
      </c>
      <c r="I29" s="25">
        <v>0</v>
      </c>
      <c r="J29" s="25">
        <v>0</v>
      </c>
      <c r="K29" s="25">
        <v>0</v>
      </c>
      <c r="L29" s="25">
        <v>0</v>
      </c>
      <c r="M29" s="25">
        <v>0</v>
      </c>
    </row>
    <row r="30" spans="1:13" ht="16.05" customHeight="1" x14ac:dyDescent="0.25">
      <c r="A30" s="18" t="s">
        <v>519</v>
      </c>
      <c r="B30" s="33" t="s">
        <v>223</v>
      </c>
      <c r="C30" s="24" t="s">
        <v>278</v>
      </c>
      <c r="D30" s="24" t="s">
        <v>118</v>
      </c>
      <c r="E30" s="25">
        <v>35620</v>
      </c>
      <c r="F30" s="25">
        <v>53699</v>
      </c>
      <c r="G30" s="25">
        <v>64120</v>
      </c>
      <c r="H30" s="25">
        <v>85200</v>
      </c>
      <c r="I30" s="25">
        <v>0</v>
      </c>
      <c r="J30" s="25">
        <v>0</v>
      </c>
      <c r="K30" s="25">
        <v>0</v>
      </c>
      <c r="L30" s="25">
        <v>0</v>
      </c>
      <c r="M30" s="25">
        <v>0</v>
      </c>
    </row>
    <row r="31" spans="1:13" ht="16.05" customHeight="1" x14ac:dyDescent="0.25">
      <c r="A31" s="18" t="s">
        <v>519</v>
      </c>
      <c r="B31" s="33" t="s">
        <v>223</v>
      </c>
      <c r="C31" s="24" t="s">
        <v>279</v>
      </c>
      <c r="D31" s="24" t="s">
        <v>119</v>
      </c>
      <c r="E31" s="25">
        <v>15425</v>
      </c>
      <c r="F31" s="25">
        <v>25100</v>
      </c>
      <c r="G31" s="25">
        <v>15380</v>
      </c>
      <c r="H31" s="25">
        <v>22653</v>
      </c>
      <c r="I31" s="25">
        <v>0</v>
      </c>
      <c r="J31" s="25">
        <v>0</v>
      </c>
      <c r="K31" s="25">
        <v>0</v>
      </c>
      <c r="L31" s="25">
        <v>0</v>
      </c>
      <c r="M31" s="25">
        <v>0</v>
      </c>
    </row>
    <row r="32" spans="1:13" ht="16.05" customHeight="1" x14ac:dyDescent="0.25">
      <c r="A32" s="18" t="s">
        <v>519</v>
      </c>
      <c r="B32" s="33" t="s">
        <v>223</v>
      </c>
      <c r="C32" s="24" t="s">
        <v>280</v>
      </c>
      <c r="D32" s="24" t="s">
        <v>120</v>
      </c>
      <c r="E32" s="25">
        <v>0</v>
      </c>
      <c r="F32" s="25">
        <v>0</v>
      </c>
      <c r="G32" s="25">
        <v>0</v>
      </c>
      <c r="H32" s="25">
        <v>0</v>
      </c>
      <c r="I32" s="25">
        <v>0</v>
      </c>
      <c r="J32" s="25">
        <v>0</v>
      </c>
      <c r="K32" s="25">
        <v>0</v>
      </c>
      <c r="L32" s="25">
        <v>0</v>
      </c>
      <c r="M32" s="25">
        <v>0</v>
      </c>
    </row>
    <row r="33" spans="1:13" ht="16.05" customHeight="1" x14ac:dyDescent="0.25">
      <c r="A33" s="18" t="s">
        <v>519</v>
      </c>
      <c r="B33" s="33" t="s">
        <v>224</v>
      </c>
      <c r="C33" s="24" t="s">
        <v>281</v>
      </c>
      <c r="D33" s="24" t="s">
        <v>116</v>
      </c>
      <c r="E33" s="25">
        <v>0</v>
      </c>
      <c r="F33" s="25">
        <v>0</v>
      </c>
      <c r="G33" s="25">
        <v>0</v>
      </c>
      <c r="H33" s="25">
        <v>0</v>
      </c>
      <c r="I33" s="25">
        <v>0</v>
      </c>
      <c r="J33" s="25">
        <v>0</v>
      </c>
      <c r="K33" s="25">
        <v>0</v>
      </c>
      <c r="L33" s="25">
        <v>0</v>
      </c>
      <c r="M33" s="25">
        <v>0</v>
      </c>
    </row>
    <row r="34" spans="1:13" ht="16.05" customHeight="1" x14ac:dyDescent="0.25">
      <c r="A34" s="18" t="s">
        <v>519</v>
      </c>
      <c r="B34" s="33" t="s">
        <v>227</v>
      </c>
      <c r="C34" s="24" t="s">
        <v>282</v>
      </c>
      <c r="D34" s="24" t="s">
        <v>121</v>
      </c>
      <c r="E34" s="25">
        <v>-49619</v>
      </c>
      <c r="F34" s="25">
        <v>-58600</v>
      </c>
      <c r="G34" s="25">
        <v>-72020</v>
      </c>
      <c r="H34" s="25">
        <v>-90365</v>
      </c>
      <c r="I34" s="25">
        <v>0</v>
      </c>
      <c r="J34" s="25">
        <v>0</v>
      </c>
      <c r="K34" s="25">
        <v>0</v>
      </c>
      <c r="L34" s="25">
        <v>0</v>
      </c>
      <c r="M34" s="25">
        <v>0</v>
      </c>
    </row>
    <row r="35" spans="1:13" ht="16.05" customHeight="1" x14ac:dyDescent="0.25">
      <c r="A35" s="18" t="s">
        <v>519</v>
      </c>
      <c r="B35" s="33" t="s">
        <v>227</v>
      </c>
      <c r="C35" s="24" t="s">
        <v>283</v>
      </c>
      <c r="D35" s="24" t="s">
        <v>284</v>
      </c>
      <c r="E35" s="25">
        <v>-10200</v>
      </c>
      <c r="F35" s="25">
        <v>-13108</v>
      </c>
      <c r="G35" s="25">
        <v>-14500</v>
      </c>
      <c r="H35" s="25">
        <v>-20572</v>
      </c>
      <c r="I35" s="25">
        <v>0</v>
      </c>
      <c r="J35" s="25">
        <v>0</v>
      </c>
      <c r="K35" s="25">
        <v>0</v>
      </c>
      <c r="L35" s="25">
        <v>0</v>
      </c>
      <c r="M35" s="25">
        <v>0</v>
      </c>
    </row>
    <row r="36" spans="1:13" ht="16.05" customHeight="1" x14ac:dyDescent="0.25">
      <c r="A36" s="18" t="s">
        <v>519</v>
      </c>
      <c r="B36" s="33" t="s">
        <v>369</v>
      </c>
      <c r="C36" s="24" t="s">
        <v>285</v>
      </c>
      <c r="D36" s="24" t="s">
        <v>90</v>
      </c>
      <c r="E36" s="25">
        <v>-12500</v>
      </c>
      <c r="F36" s="25">
        <v>-15061</v>
      </c>
      <c r="G36" s="25">
        <v>-17696</v>
      </c>
      <c r="H36" s="25">
        <v>-16185</v>
      </c>
      <c r="I36" s="25">
        <v>0</v>
      </c>
      <c r="J36" s="25">
        <v>0</v>
      </c>
      <c r="K36" s="25">
        <v>0</v>
      </c>
      <c r="L36" s="25">
        <v>0</v>
      </c>
      <c r="M36" s="25">
        <v>0</v>
      </c>
    </row>
    <row r="37" spans="1:13" ht="16.05" customHeight="1" x14ac:dyDescent="0.25">
      <c r="A37" s="18" t="s">
        <v>519</v>
      </c>
      <c r="B37" s="33" t="s">
        <v>228</v>
      </c>
      <c r="C37" s="24" t="s">
        <v>286</v>
      </c>
      <c r="D37" s="24" t="s">
        <v>91</v>
      </c>
      <c r="E37" s="25">
        <v>0</v>
      </c>
      <c r="F37" s="25">
        <v>-75000</v>
      </c>
      <c r="G37" s="25">
        <v>-100000</v>
      </c>
      <c r="H37" s="25">
        <v>-150000</v>
      </c>
      <c r="I37" s="25">
        <v>0</v>
      </c>
      <c r="J37" s="25">
        <v>0</v>
      </c>
      <c r="K37" s="25">
        <v>0</v>
      </c>
      <c r="L37" s="25">
        <v>0</v>
      </c>
      <c r="M37" s="25">
        <v>0</v>
      </c>
    </row>
    <row r="38" spans="1:13" ht="16.05" customHeight="1" x14ac:dyDescent="0.25">
      <c r="A38" s="18" t="s">
        <v>519</v>
      </c>
      <c r="B38" s="33" t="s">
        <v>229</v>
      </c>
      <c r="C38" s="24" t="s">
        <v>287</v>
      </c>
      <c r="D38" s="24" t="s">
        <v>288</v>
      </c>
      <c r="E38" s="25">
        <v>-99630</v>
      </c>
      <c r="F38" s="25">
        <v>-118400</v>
      </c>
      <c r="G38" s="25">
        <v>-131926</v>
      </c>
      <c r="H38" s="25">
        <v>-215724</v>
      </c>
      <c r="I38" s="25">
        <v>0</v>
      </c>
      <c r="J38" s="25">
        <v>0</v>
      </c>
      <c r="K38" s="25">
        <v>0</v>
      </c>
      <c r="L38" s="25">
        <v>0</v>
      </c>
      <c r="M38" s="25">
        <v>0</v>
      </c>
    </row>
    <row r="39" spans="1:13" ht="16.05" customHeight="1" x14ac:dyDescent="0.25">
      <c r="A39" s="18" t="s">
        <v>519</v>
      </c>
      <c r="B39" s="33" t="s">
        <v>231</v>
      </c>
      <c r="C39" s="24" t="s">
        <v>289</v>
      </c>
      <c r="D39" s="24" t="s">
        <v>232</v>
      </c>
      <c r="E39" s="25">
        <v>-180400</v>
      </c>
      <c r="F39" s="25">
        <v>-211637</v>
      </c>
      <c r="G39" s="25">
        <v>-214870</v>
      </c>
      <c r="H39" s="25">
        <v>-214823</v>
      </c>
      <c r="I39" s="25">
        <v>0</v>
      </c>
      <c r="J39" s="25">
        <v>0</v>
      </c>
      <c r="K39" s="25">
        <v>0</v>
      </c>
      <c r="L39" s="25">
        <v>0</v>
      </c>
      <c r="M39" s="25">
        <v>0</v>
      </c>
    </row>
    <row r="40" spans="1:13" ht="16.05" customHeight="1" x14ac:dyDescent="0.25">
      <c r="A40" s="18" t="s">
        <v>519</v>
      </c>
      <c r="B40" s="33" t="s">
        <v>233</v>
      </c>
      <c r="C40" s="24" t="s">
        <v>290</v>
      </c>
      <c r="D40" s="24" t="s">
        <v>291</v>
      </c>
      <c r="E40" s="25">
        <v>-45620</v>
      </c>
      <c r="F40" s="25">
        <v>-55891</v>
      </c>
      <c r="G40" s="25">
        <v>-59835</v>
      </c>
      <c r="H40" s="25">
        <v>-75891</v>
      </c>
      <c r="I40" s="25">
        <v>0</v>
      </c>
      <c r="J40" s="25">
        <v>0</v>
      </c>
      <c r="K40" s="25">
        <v>0</v>
      </c>
      <c r="L40" s="25">
        <v>0</v>
      </c>
      <c r="M40" s="25">
        <v>0</v>
      </c>
    </row>
    <row r="41" spans="1:13" ht="16.05" customHeight="1" x14ac:dyDescent="0.25">
      <c r="A41" s="18" t="s">
        <v>519</v>
      </c>
      <c r="B41" s="33" t="s">
        <v>235</v>
      </c>
      <c r="C41" s="24" t="s">
        <v>292</v>
      </c>
      <c r="D41" s="24" t="s">
        <v>293</v>
      </c>
      <c r="E41" s="25">
        <v>-2120000</v>
      </c>
      <c r="F41" s="25">
        <v>-1646180</v>
      </c>
      <c r="G41" s="25">
        <v>-1151104</v>
      </c>
      <c r="H41" s="25">
        <v>-604187</v>
      </c>
      <c r="I41" s="25">
        <v>0</v>
      </c>
      <c r="J41" s="25">
        <v>0</v>
      </c>
      <c r="K41" s="25">
        <v>0</v>
      </c>
      <c r="L41" s="25">
        <v>0</v>
      </c>
      <c r="M41" s="25">
        <v>0</v>
      </c>
    </row>
    <row r="42" spans="1:13" ht="16.05" customHeight="1" x14ac:dyDescent="0.25">
      <c r="A42" s="18" t="s">
        <v>519</v>
      </c>
      <c r="B42" s="33" t="s">
        <v>235</v>
      </c>
      <c r="C42" s="24" t="s">
        <v>294</v>
      </c>
      <c r="D42" s="24" t="s">
        <v>295</v>
      </c>
      <c r="E42" s="25">
        <v>0</v>
      </c>
      <c r="F42" s="25">
        <v>0</v>
      </c>
      <c r="G42" s="25">
        <v>-816581</v>
      </c>
      <c r="H42" s="25">
        <v>-661805</v>
      </c>
      <c r="I42" s="25">
        <v>0</v>
      </c>
      <c r="J42" s="25">
        <v>0</v>
      </c>
      <c r="K42" s="25">
        <v>0</v>
      </c>
      <c r="L42" s="25">
        <v>0</v>
      </c>
      <c r="M42" s="25">
        <v>0</v>
      </c>
    </row>
    <row r="43" spans="1:13" ht="16.05" customHeight="1" x14ac:dyDescent="0.25">
      <c r="A43" s="18" t="s">
        <v>519</v>
      </c>
      <c r="B43" s="33" t="s">
        <v>237</v>
      </c>
      <c r="C43" s="24" t="s">
        <v>296</v>
      </c>
      <c r="D43" s="24" t="s">
        <v>122</v>
      </c>
      <c r="E43" s="25">
        <v>-239500</v>
      </c>
      <c r="F43" s="25">
        <v>-209394</v>
      </c>
      <c r="G43" s="25">
        <v>-146420</v>
      </c>
      <c r="H43" s="25">
        <v>-85325</v>
      </c>
      <c r="I43" s="25">
        <v>0</v>
      </c>
      <c r="J43" s="25">
        <v>0</v>
      </c>
      <c r="K43" s="25">
        <v>0</v>
      </c>
      <c r="L43" s="25">
        <v>0</v>
      </c>
      <c r="M43" s="25">
        <v>0</v>
      </c>
    </row>
    <row r="44" spans="1:13" ht="16.05" customHeight="1" x14ac:dyDescent="0.25">
      <c r="A44" s="18" t="s">
        <v>519</v>
      </c>
      <c r="B44" s="33" t="s">
        <v>238</v>
      </c>
      <c r="C44" s="24" t="s">
        <v>297</v>
      </c>
      <c r="D44" s="24" t="s">
        <v>298</v>
      </c>
      <c r="E44" s="25">
        <v>0</v>
      </c>
      <c r="F44" s="25">
        <v>0</v>
      </c>
      <c r="G44" s="25">
        <v>0</v>
      </c>
      <c r="H44" s="25">
        <v>0</v>
      </c>
      <c r="I44" s="25">
        <v>0</v>
      </c>
      <c r="J44" s="25">
        <v>0</v>
      </c>
      <c r="K44" s="25">
        <v>0</v>
      </c>
      <c r="L44" s="25">
        <v>0</v>
      </c>
      <c r="M44" s="25">
        <v>0</v>
      </c>
    </row>
    <row r="45" spans="1:13" ht="16.05" customHeight="1" x14ac:dyDescent="0.25">
      <c r="A45" s="18" t="s">
        <v>519</v>
      </c>
      <c r="B45" s="33" t="s">
        <v>239</v>
      </c>
      <c r="C45" s="24" t="s">
        <v>299</v>
      </c>
      <c r="D45" s="24" t="s">
        <v>300</v>
      </c>
      <c r="E45" s="25">
        <v>-1000</v>
      </c>
      <c r="F45" s="25">
        <v>-1000</v>
      </c>
      <c r="G45" s="25">
        <v>-1000</v>
      </c>
      <c r="H45" s="25">
        <v>-1000</v>
      </c>
      <c r="I45" s="25">
        <v>0</v>
      </c>
      <c r="J45" s="25">
        <v>0</v>
      </c>
      <c r="K45" s="25">
        <v>0</v>
      </c>
      <c r="L45" s="25">
        <v>0</v>
      </c>
      <c r="M45" s="25">
        <v>0</v>
      </c>
    </row>
    <row r="46" spans="1:13" ht="16.05" customHeight="1" x14ac:dyDescent="0.25">
      <c r="A46" s="18" t="s">
        <v>519</v>
      </c>
      <c r="B46" s="33" t="s">
        <v>236</v>
      </c>
      <c r="C46" s="24" t="s">
        <v>301</v>
      </c>
      <c r="D46" s="24" t="s">
        <v>123</v>
      </c>
      <c r="E46" s="25">
        <v>42350</v>
      </c>
      <c r="F46" s="25">
        <v>47278</v>
      </c>
      <c r="G46" s="25">
        <v>-17377</v>
      </c>
      <c r="H46" s="25">
        <v>33790</v>
      </c>
      <c r="I46" s="25">
        <v>0</v>
      </c>
      <c r="J46" s="25">
        <v>0</v>
      </c>
      <c r="K46" s="25">
        <v>0</v>
      </c>
      <c r="L46" s="25">
        <v>0</v>
      </c>
      <c r="M46" s="25">
        <v>0</v>
      </c>
    </row>
    <row r="47" spans="1:13" ht="16.05" customHeight="1" x14ac:dyDescent="0.25">
      <c r="A47" s="18" t="s">
        <v>519</v>
      </c>
      <c r="B47" s="33" t="s">
        <v>160</v>
      </c>
      <c r="C47" s="24" t="s">
        <v>302</v>
      </c>
      <c r="D47" s="24" t="s">
        <v>303</v>
      </c>
      <c r="E47" s="25">
        <v>0</v>
      </c>
      <c r="F47" s="25">
        <v>-3310790</v>
      </c>
      <c r="G47" s="25">
        <v>-3972950</v>
      </c>
      <c r="H47" s="25">
        <v>-4370245</v>
      </c>
      <c r="I47" s="25">
        <v>0</v>
      </c>
      <c r="J47" s="25">
        <v>0</v>
      </c>
      <c r="K47" s="25">
        <v>0</v>
      </c>
      <c r="L47" s="25">
        <v>0</v>
      </c>
      <c r="M47" s="25">
        <v>0</v>
      </c>
    </row>
    <row r="48" spans="1:13" ht="16.05" customHeight="1" x14ac:dyDescent="0.25">
      <c r="A48" s="18" t="s">
        <v>519</v>
      </c>
      <c r="B48" s="33" t="s">
        <v>160</v>
      </c>
      <c r="C48" s="24" t="s">
        <v>304</v>
      </c>
      <c r="D48" s="24" t="s">
        <v>305</v>
      </c>
      <c r="E48" s="25">
        <v>0</v>
      </c>
      <c r="F48" s="25">
        <v>-1890906</v>
      </c>
      <c r="G48" s="25">
        <v>-2269087</v>
      </c>
      <c r="H48" s="25">
        <v>-2541378</v>
      </c>
      <c r="I48" s="25">
        <v>0</v>
      </c>
      <c r="J48" s="25">
        <v>0</v>
      </c>
      <c r="K48" s="25">
        <v>0</v>
      </c>
      <c r="L48" s="25">
        <v>0</v>
      </c>
      <c r="M48" s="25">
        <v>0</v>
      </c>
    </row>
    <row r="49" spans="1:13" ht="16.05" customHeight="1" x14ac:dyDescent="0.25">
      <c r="A49" s="18" t="s">
        <v>519</v>
      </c>
      <c r="B49" s="33" t="s">
        <v>162</v>
      </c>
      <c r="C49" s="24" t="s">
        <v>306</v>
      </c>
      <c r="D49" s="24" t="s">
        <v>307</v>
      </c>
      <c r="E49" s="25">
        <v>0</v>
      </c>
      <c r="F49" s="25">
        <v>1644961</v>
      </c>
      <c r="G49" s="25">
        <v>1827557</v>
      </c>
      <c r="H49" s="25">
        <v>1966610</v>
      </c>
      <c r="I49" s="25">
        <v>0</v>
      </c>
      <c r="J49" s="25">
        <v>0</v>
      </c>
      <c r="K49" s="25">
        <v>0</v>
      </c>
      <c r="L49" s="25">
        <v>0</v>
      </c>
      <c r="M49" s="25">
        <v>0</v>
      </c>
    </row>
    <row r="50" spans="1:13" ht="16.05" customHeight="1" x14ac:dyDescent="0.25">
      <c r="A50" s="18" t="s">
        <v>519</v>
      </c>
      <c r="B50" s="33" t="s">
        <v>162</v>
      </c>
      <c r="C50" s="24" t="s">
        <v>308</v>
      </c>
      <c r="D50" s="24" t="s">
        <v>309</v>
      </c>
      <c r="E50" s="25">
        <v>0</v>
      </c>
      <c r="F50" s="25">
        <v>950908</v>
      </c>
      <c r="G50" s="25">
        <v>975707</v>
      </c>
      <c r="H50" s="25">
        <v>914965</v>
      </c>
      <c r="I50" s="25">
        <v>0</v>
      </c>
      <c r="J50" s="25">
        <v>0</v>
      </c>
      <c r="K50" s="25">
        <v>0</v>
      </c>
      <c r="L50" s="25">
        <v>0</v>
      </c>
      <c r="M50" s="25">
        <v>0</v>
      </c>
    </row>
    <row r="51" spans="1:13" ht="16.05" customHeight="1" x14ac:dyDescent="0.25">
      <c r="A51" s="18" t="s">
        <v>519</v>
      </c>
      <c r="B51" s="33" t="s">
        <v>162</v>
      </c>
      <c r="C51" s="24" t="s">
        <v>310</v>
      </c>
      <c r="D51" s="24" t="s">
        <v>311</v>
      </c>
      <c r="E51" s="25">
        <v>0</v>
      </c>
      <c r="F51" s="25">
        <v>0</v>
      </c>
      <c r="G51" s="25">
        <v>0</v>
      </c>
      <c r="H51" s="25">
        <v>0</v>
      </c>
      <c r="I51" s="25">
        <v>0</v>
      </c>
      <c r="J51" s="25">
        <v>0</v>
      </c>
      <c r="K51" s="25">
        <v>0</v>
      </c>
      <c r="L51" s="25">
        <v>0</v>
      </c>
      <c r="M51" s="25">
        <v>0</v>
      </c>
    </row>
    <row r="52" spans="1:13" ht="16.05" customHeight="1" x14ac:dyDescent="0.25">
      <c r="A52" s="18" t="s">
        <v>519</v>
      </c>
      <c r="B52" s="33" t="s">
        <v>165</v>
      </c>
      <c r="C52" s="24" t="s">
        <v>312</v>
      </c>
      <c r="D52" s="24" t="s">
        <v>61</v>
      </c>
      <c r="E52" s="25">
        <v>0</v>
      </c>
      <c r="F52" s="25">
        <v>15500</v>
      </c>
      <c r="G52" s="25">
        <v>18000</v>
      </c>
      <c r="H52" s="25">
        <v>24000</v>
      </c>
      <c r="I52" s="25">
        <v>0</v>
      </c>
      <c r="J52" s="25">
        <v>0</v>
      </c>
      <c r="K52" s="25">
        <v>0</v>
      </c>
      <c r="L52" s="25">
        <v>0</v>
      </c>
      <c r="M52" s="25">
        <v>0</v>
      </c>
    </row>
    <row r="53" spans="1:13" ht="16.05" customHeight="1" x14ac:dyDescent="0.25">
      <c r="A53" s="18" t="s">
        <v>519</v>
      </c>
      <c r="B53" s="33" t="s">
        <v>167</v>
      </c>
      <c r="C53" s="24" t="s">
        <v>313</v>
      </c>
      <c r="D53" s="24" t="s">
        <v>34</v>
      </c>
      <c r="E53" s="25">
        <v>0</v>
      </c>
      <c r="F53" s="25">
        <v>110520</v>
      </c>
      <c r="G53" s="25">
        <v>170000</v>
      </c>
      <c r="H53" s="25">
        <v>143644</v>
      </c>
      <c r="I53" s="25">
        <v>0</v>
      </c>
      <c r="J53" s="25">
        <v>0</v>
      </c>
      <c r="K53" s="25">
        <v>0</v>
      </c>
      <c r="L53" s="25">
        <v>0</v>
      </c>
      <c r="M53" s="25">
        <v>0</v>
      </c>
    </row>
    <row r="54" spans="1:13" ht="16.05" customHeight="1" x14ac:dyDescent="0.25">
      <c r="A54" s="18" t="s">
        <v>519</v>
      </c>
      <c r="B54" s="33" t="s">
        <v>169</v>
      </c>
      <c r="C54" s="24" t="s">
        <v>314</v>
      </c>
      <c r="D54" s="24" t="s">
        <v>62</v>
      </c>
      <c r="E54" s="25">
        <v>0</v>
      </c>
      <c r="F54" s="25">
        <v>780</v>
      </c>
      <c r="G54" s="25">
        <v>935</v>
      </c>
      <c r="H54" s="25">
        <v>1180</v>
      </c>
      <c r="I54" s="25">
        <v>0</v>
      </c>
      <c r="J54" s="25">
        <v>0</v>
      </c>
      <c r="K54" s="25">
        <v>0</v>
      </c>
      <c r="L54" s="25">
        <v>0</v>
      </c>
      <c r="M54" s="25">
        <v>0</v>
      </c>
    </row>
    <row r="55" spans="1:13" ht="16.05" customHeight="1" x14ac:dyDescent="0.25">
      <c r="A55" s="18" t="s">
        <v>519</v>
      </c>
      <c r="B55" s="33" t="s">
        <v>171</v>
      </c>
      <c r="C55" s="24" t="s">
        <v>315</v>
      </c>
      <c r="D55" s="24" t="s">
        <v>63</v>
      </c>
      <c r="E55" s="25">
        <v>0</v>
      </c>
      <c r="F55" s="25">
        <v>18450</v>
      </c>
      <c r="G55" s="25">
        <v>22120</v>
      </c>
      <c r="H55" s="25">
        <v>27850</v>
      </c>
      <c r="I55" s="25">
        <v>0</v>
      </c>
      <c r="J55" s="25">
        <v>0</v>
      </c>
      <c r="K55" s="25">
        <v>0</v>
      </c>
      <c r="L55" s="25">
        <v>0</v>
      </c>
      <c r="M55" s="25">
        <v>0</v>
      </c>
    </row>
    <row r="56" spans="1:13" ht="16.05" customHeight="1" x14ac:dyDescent="0.25">
      <c r="A56" s="18" t="s">
        <v>519</v>
      </c>
      <c r="B56" s="33" t="s">
        <v>172</v>
      </c>
      <c r="C56" s="24" t="s">
        <v>316</v>
      </c>
      <c r="D56" s="24" t="s">
        <v>64</v>
      </c>
      <c r="E56" s="25">
        <v>0</v>
      </c>
      <c r="F56" s="25">
        <v>5625</v>
      </c>
      <c r="G56" s="25">
        <v>7210</v>
      </c>
      <c r="H56" s="25">
        <v>3477</v>
      </c>
      <c r="I56" s="25">
        <v>0</v>
      </c>
      <c r="J56" s="25">
        <v>0</v>
      </c>
      <c r="K56" s="25">
        <v>0</v>
      </c>
      <c r="L56" s="25">
        <v>0</v>
      </c>
      <c r="M56" s="25">
        <v>0</v>
      </c>
    </row>
    <row r="57" spans="1:13" ht="16.05" customHeight="1" x14ac:dyDescent="0.25">
      <c r="A57" s="18" t="s">
        <v>519</v>
      </c>
      <c r="B57" s="33" t="s">
        <v>174</v>
      </c>
      <c r="C57" s="24" t="s">
        <v>317</v>
      </c>
      <c r="D57" s="24" t="s">
        <v>65</v>
      </c>
      <c r="E57" s="25">
        <v>0</v>
      </c>
      <c r="F57" s="25">
        <v>2500</v>
      </c>
      <c r="G57" s="25">
        <v>2000</v>
      </c>
      <c r="H57" s="25">
        <v>2500</v>
      </c>
      <c r="I57" s="25">
        <v>0</v>
      </c>
      <c r="J57" s="25">
        <v>0</v>
      </c>
      <c r="K57" s="25">
        <v>0</v>
      </c>
      <c r="L57" s="25">
        <v>0</v>
      </c>
      <c r="M57" s="25">
        <v>0</v>
      </c>
    </row>
    <row r="58" spans="1:13" ht="16.05" customHeight="1" x14ac:dyDescent="0.25">
      <c r="A58" s="18" t="s">
        <v>519</v>
      </c>
      <c r="B58" s="33" t="s">
        <v>176</v>
      </c>
      <c r="C58" s="24" t="s">
        <v>318</v>
      </c>
      <c r="D58" s="24" t="s">
        <v>66</v>
      </c>
      <c r="E58" s="25">
        <v>0</v>
      </c>
      <c r="F58" s="25">
        <v>11020</v>
      </c>
      <c r="G58" s="25">
        <v>10875</v>
      </c>
      <c r="H58" s="25">
        <v>12420</v>
      </c>
      <c r="I58" s="25">
        <v>0</v>
      </c>
      <c r="J58" s="25">
        <v>0</v>
      </c>
      <c r="K58" s="25">
        <v>0</v>
      </c>
      <c r="L58" s="25">
        <v>0</v>
      </c>
      <c r="M58" s="25">
        <v>0</v>
      </c>
    </row>
    <row r="59" spans="1:13" ht="16.05" customHeight="1" x14ac:dyDescent="0.25">
      <c r="A59" s="18" t="s">
        <v>519</v>
      </c>
      <c r="B59" s="33" t="s">
        <v>177</v>
      </c>
      <c r="C59" s="24" t="s">
        <v>319</v>
      </c>
      <c r="D59" s="24" t="s">
        <v>67</v>
      </c>
      <c r="E59" s="25">
        <v>0</v>
      </c>
      <c r="F59" s="25">
        <v>3100</v>
      </c>
      <c r="G59" s="25">
        <v>3420</v>
      </c>
      <c r="H59" s="25">
        <v>3840</v>
      </c>
      <c r="I59" s="25">
        <v>0</v>
      </c>
      <c r="J59" s="25">
        <v>0</v>
      </c>
      <c r="K59" s="25">
        <v>0</v>
      </c>
      <c r="L59" s="25">
        <v>0</v>
      </c>
      <c r="M59" s="25">
        <v>0</v>
      </c>
    </row>
    <row r="60" spans="1:13" ht="16.05" customHeight="1" x14ac:dyDescent="0.25">
      <c r="A60" s="18" t="s">
        <v>519</v>
      </c>
      <c r="B60" s="33" t="s">
        <v>178</v>
      </c>
      <c r="C60" s="24" t="s">
        <v>320</v>
      </c>
      <c r="D60" s="24" t="s">
        <v>68</v>
      </c>
      <c r="E60" s="25">
        <v>0</v>
      </c>
      <c r="F60" s="25">
        <v>350</v>
      </c>
      <c r="G60" s="25">
        <v>660</v>
      </c>
      <c r="H60" s="25">
        <v>996</v>
      </c>
      <c r="I60" s="25">
        <v>0</v>
      </c>
      <c r="J60" s="25">
        <v>0</v>
      </c>
      <c r="K60" s="25">
        <v>0</v>
      </c>
      <c r="L60" s="25">
        <v>0</v>
      </c>
      <c r="M60" s="25">
        <v>0</v>
      </c>
    </row>
    <row r="61" spans="1:13" ht="16.05" customHeight="1" x14ac:dyDescent="0.25">
      <c r="A61" s="18" t="s">
        <v>519</v>
      </c>
      <c r="B61" s="33" t="s">
        <v>180</v>
      </c>
      <c r="C61" s="24" t="s">
        <v>321</v>
      </c>
      <c r="D61" s="24" t="s">
        <v>69</v>
      </c>
      <c r="E61" s="25">
        <v>0</v>
      </c>
      <c r="F61" s="25">
        <v>114000</v>
      </c>
      <c r="G61" s="25">
        <v>120000</v>
      </c>
      <c r="H61" s="25">
        <v>144000</v>
      </c>
      <c r="I61" s="25">
        <v>0</v>
      </c>
      <c r="J61" s="25">
        <v>0</v>
      </c>
      <c r="K61" s="25">
        <v>0</v>
      </c>
      <c r="L61" s="25">
        <v>0</v>
      </c>
      <c r="M61" s="25">
        <v>0</v>
      </c>
    </row>
    <row r="62" spans="1:13" ht="16.05" customHeight="1" x14ac:dyDescent="0.25">
      <c r="A62" s="18" t="s">
        <v>519</v>
      </c>
      <c r="B62" s="33" t="s">
        <v>182</v>
      </c>
      <c r="C62" s="24" t="s">
        <v>322</v>
      </c>
      <c r="D62" s="24" t="s">
        <v>70</v>
      </c>
      <c r="E62" s="25">
        <v>0</v>
      </c>
      <c r="F62" s="25">
        <v>685</v>
      </c>
      <c r="G62" s="25">
        <v>452</v>
      </c>
      <c r="H62" s="25">
        <v>524</v>
      </c>
      <c r="I62" s="25">
        <v>0</v>
      </c>
      <c r="J62" s="25">
        <v>0</v>
      </c>
      <c r="K62" s="25">
        <v>0</v>
      </c>
      <c r="L62" s="25">
        <v>0</v>
      </c>
      <c r="M62" s="25">
        <v>0</v>
      </c>
    </row>
    <row r="63" spans="1:13" ht="16.05" customHeight="1" x14ac:dyDescent="0.25">
      <c r="A63" s="18" t="s">
        <v>519</v>
      </c>
      <c r="B63" s="33" t="s">
        <v>183</v>
      </c>
      <c r="C63" s="24" t="s">
        <v>323</v>
      </c>
      <c r="D63" s="24" t="s">
        <v>71</v>
      </c>
      <c r="E63" s="25">
        <v>0</v>
      </c>
      <c r="F63" s="25">
        <v>0</v>
      </c>
      <c r="G63" s="25">
        <v>36250</v>
      </c>
      <c r="H63" s="25">
        <v>5652</v>
      </c>
      <c r="I63" s="25">
        <v>0</v>
      </c>
      <c r="J63" s="25">
        <v>0</v>
      </c>
      <c r="K63" s="25">
        <v>0</v>
      </c>
      <c r="L63" s="25">
        <v>0</v>
      </c>
      <c r="M63" s="25">
        <v>0</v>
      </c>
    </row>
    <row r="64" spans="1:13" ht="16.05" customHeight="1" x14ac:dyDescent="0.25">
      <c r="A64" s="18" t="s">
        <v>519</v>
      </c>
      <c r="B64" s="33" t="s">
        <v>185</v>
      </c>
      <c r="C64" s="24" t="s">
        <v>324</v>
      </c>
      <c r="D64" s="24" t="s">
        <v>72</v>
      </c>
      <c r="E64" s="25">
        <v>0</v>
      </c>
      <c r="F64" s="25">
        <v>1150</v>
      </c>
      <c r="G64" s="25">
        <v>1257</v>
      </c>
      <c r="H64" s="25">
        <v>2491</v>
      </c>
      <c r="I64" s="25">
        <v>0</v>
      </c>
      <c r="J64" s="25">
        <v>0</v>
      </c>
      <c r="K64" s="25">
        <v>0</v>
      </c>
      <c r="L64" s="25">
        <v>0</v>
      </c>
      <c r="M64" s="25">
        <v>0</v>
      </c>
    </row>
    <row r="65" spans="1:13" ht="16.05" customHeight="1" x14ac:dyDescent="0.25">
      <c r="A65" s="18" t="s">
        <v>519</v>
      </c>
      <c r="B65" s="33" t="s">
        <v>186</v>
      </c>
      <c r="C65" s="24" t="s">
        <v>325</v>
      </c>
      <c r="D65" s="24" t="s">
        <v>73</v>
      </c>
      <c r="E65" s="25">
        <v>0</v>
      </c>
      <c r="F65" s="25">
        <v>4400</v>
      </c>
      <c r="G65" s="25">
        <v>4800</v>
      </c>
      <c r="H65" s="25">
        <v>5200</v>
      </c>
      <c r="I65" s="25">
        <v>0</v>
      </c>
      <c r="J65" s="25">
        <v>0</v>
      </c>
      <c r="K65" s="25">
        <v>0</v>
      </c>
      <c r="L65" s="25">
        <v>0</v>
      </c>
      <c r="M65" s="25">
        <v>0</v>
      </c>
    </row>
    <row r="66" spans="1:13" ht="16.05" customHeight="1" x14ac:dyDescent="0.25">
      <c r="A66" s="18" t="s">
        <v>519</v>
      </c>
      <c r="B66" s="33" t="s">
        <v>188</v>
      </c>
      <c r="C66" s="24" t="s">
        <v>326</v>
      </c>
      <c r="D66" s="24" t="s">
        <v>74</v>
      </c>
      <c r="E66" s="25">
        <v>0</v>
      </c>
      <c r="F66" s="25">
        <v>7220</v>
      </c>
      <c r="G66" s="25">
        <v>7504</v>
      </c>
      <c r="H66" s="25">
        <v>8867</v>
      </c>
      <c r="I66" s="25">
        <v>0</v>
      </c>
      <c r="J66" s="25">
        <v>0</v>
      </c>
      <c r="K66" s="25">
        <v>0</v>
      </c>
      <c r="L66" s="25">
        <v>0</v>
      </c>
      <c r="M66" s="25">
        <v>0</v>
      </c>
    </row>
    <row r="67" spans="1:13" ht="16.05" customHeight="1" x14ac:dyDescent="0.25">
      <c r="A67" s="18" t="s">
        <v>519</v>
      </c>
      <c r="B67" s="33" t="s">
        <v>190</v>
      </c>
      <c r="C67" s="24" t="s">
        <v>327</v>
      </c>
      <c r="D67" s="24" t="s">
        <v>75</v>
      </c>
      <c r="E67" s="25">
        <v>0</v>
      </c>
      <c r="F67" s="25">
        <v>875</v>
      </c>
      <c r="G67" s="25">
        <v>1521</v>
      </c>
      <c r="H67" s="25">
        <v>4043</v>
      </c>
      <c r="I67" s="25">
        <v>0</v>
      </c>
      <c r="J67" s="25">
        <v>0</v>
      </c>
      <c r="K67" s="25">
        <v>0</v>
      </c>
      <c r="L67" s="25">
        <v>0</v>
      </c>
      <c r="M67" s="25">
        <v>0</v>
      </c>
    </row>
    <row r="68" spans="1:13" ht="16.05" customHeight="1" x14ac:dyDescent="0.25">
      <c r="A68" s="18" t="s">
        <v>519</v>
      </c>
      <c r="B68" s="33" t="s">
        <v>191</v>
      </c>
      <c r="C68" s="24" t="s">
        <v>328</v>
      </c>
      <c r="D68" s="24" t="s">
        <v>76</v>
      </c>
      <c r="E68" s="25">
        <v>0</v>
      </c>
      <c r="F68" s="25">
        <v>10420</v>
      </c>
      <c r="G68" s="25">
        <v>4589</v>
      </c>
      <c r="H68" s="25">
        <v>13705</v>
      </c>
    </row>
    <row r="69" spans="1:13" ht="16.05" customHeight="1" x14ac:dyDescent="0.25">
      <c r="A69" s="18" t="s">
        <v>519</v>
      </c>
      <c r="B69" s="33" t="s">
        <v>193</v>
      </c>
      <c r="C69" s="24" t="s">
        <v>329</v>
      </c>
      <c r="D69" s="24" t="s">
        <v>77</v>
      </c>
      <c r="E69" s="25">
        <v>0</v>
      </c>
      <c r="F69" s="25">
        <v>5872</v>
      </c>
      <c r="G69" s="25">
        <v>6090</v>
      </c>
      <c r="H69" s="25">
        <v>6540</v>
      </c>
    </row>
    <row r="70" spans="1:13" ht="16.05" customHeight="1" x14ac:dyDescent="0.25">
      <c r="A70" s="18" t="s">
        <v>519</v>
      </c>
      <c r="B70" s="33" t="s">
        <v>196</v>
      </c>
      <c r="C70" s="24" t="s">
        <v>330</v>
      </c>
      <c r="D70" s="24" t="s">
        <v>331</v>
      </c>
      <c r="E70" s="25">
        <v>0</v>
      </c>
      <c r="F70" s="25">
        <v>385260</v>
      </c>
      <c r="G70" s="25">
        <v>435500</v>
      </c>
      <c r="H70" s="25">
        <v>548600</v>
      </c>
    </row>
    <row r="71" spans="1:13" ht="16.05" customHeight="1" x14ac:dyDescent="0.25">
      <c r="A71" s="18" t="s">
        <v>519</v>
      </c>
      <c r="B71" s="33" t="s">
        <v>370</v>
      </c>
      <c r="C71" s="24" t="s">
        <v>332</v>
      </c>
      <c r="D71" s="24" t="s">
        <v>333</v>
      </c>
      <c r="E71" s="25">
        <v>0</v>
      </c>
      <c r="F71" s="25">
        <v>401250</v>
      </c>
      <c r="G71" s="25">
        <v>434640</v>
      </c>
      <c r="H71" s="25">
        <v>785720</v>
      </c>
    </row>
    <row r="72" spans="1:13" ht="16.05" customHeight="1" x14ac:dyDescent="0.25">
      <c r="A72" s="18" t="s">
        <v>519</v>
      </c>
      <c r="B72" s="33" t="s">
        <v>199</v>
      </c>
      <c r="C72" s="24" t="s">
        <v>334</v>
      </c>
      <c r="D72" s="24" t="s">
        <v>78</v>
      </c>
      <c r="E72" s="25">
        <v>0</v>
      </c>
      <c r="F72" s="25">
        <v>377626</v>
      </c>
      <c r="G72" s="25">
        <v>450300</v>
      </c>
      <c r="H72" s="25">
        <v>546530</v>
      </c>
    </row>
    <row r="73" spans="1:13" ht="16.05" customHeight="1" x14ac:dyDescent="0.25">
      <c r="A73" s="18" t="s">
        <v>519</v>
      </c>
      <c r="B73" s="33" t="s">
        <v>200</v>
      </c>
      <c r="C73" s="24" t="s">
        <v>335</v>
      </c>
      <c r="D73" s="24" t="s">
        <v>336</v>
      </c>
      <c r="E73" s="25">
        <v>0</v>
      </c>
      <c r="F73" s="25">
        <v>104050</v>
      </c>
      <c r="G73" s="25">
        <v>104050</v>
      </c>
      <c r="H73" s="25">
        <v>104050</v>
      </c>
    </row>
    <row r="74" spans="1:13" ht="16.05" customHeight="1" x14ac:dyDescent="0.25">
      <c r="A74" s="18" t="s">
        <v>519</v>
      </c>
      <c r="B74" s="33" t="s">
        <v>201</v>
      </c>
      <c r="C74" s="24" t="s">
        <v>337</v>
      </c>
      <c r="D74" s="24" t="s">
        <v>36</v>
      </c>
      <c r="E74" s="25">
        <v>0</v>
      </c>
      <c r="F74" s="25">
        <v>180742</v>
      </c>
      <c r="G74" s="25">
        <v>212354</v>
      </c>
      <c r="H74" s="25">
        <v>194222</v>
      </c>
    </row>
    <row r="75" spans="1:13" ht="16.05" customHeight="1" x14ac:dyDescent="0.25">
      <c r="A75" s="18" t="s">
        <v>519</v>
      </c>
      <c r="B75" s="33" t="s">
        <v>202</v>
      </c>
      <c r="C75" s="24" t="s">
        <v>338</v>
      </c>
      <c r="D75" s="24" t="s">
        <v>79</v>
      </c>
      <c r="E75" s="25">
        <v>0</v>
      </c>
      <c r="F75" s="25">
        <v>236801</v>
      </c>
      <c r="G75" s="25">
        <v>263853</v>
      </c>
      <c r="H75" s="25">
        <v>442236</v>
      </c>
    </row>
    <row r="76" spans="1:13" ht="16.05" customHeight="1" x14ac:dyDescent="0.25">
      <c r="A76" s="18" t="s">
        <v>519</v>
      </c>
      <c r="B76" s="33" t="s">
        <v>204</v>
      </c>
      <c r="C76" s="24" t="s">
        <v>339</v>
      </c>
      <c r="D76" s="24" t="s">
        <v>35</v>
      </c>
      <c r="E76" s="25">
        <v>0</v>
      </c>
      <c r="F76" s="25">
        <v>12589</v>
      </c>
      <c r="G76" s="25">
        <v>20998</v>
      </c>
      <c r="H76" s="25">
        <v>25362</v>
      </c>
    </row>
    <row r="77" spans="1:13" ht="16.05" customHeight="1" x14ac:dyDescent="0.25">
      <c r="A77" s="18" t="s">
        <v>519</v>
      </c>
      <c r="B77" s="33" t="s">
        <v>204</v>
      </c>
      <c r="C77" s="24" t="s">
        <v>340</v>
      </c>
      <c r="D77" s="24" t="s">
        <v>341</v>
      </c>
      <c r="E77" s="25">
        <v>0</v>
      </c>
      <c r="F77" s="25">
        <v>10250</v>
      </c>
      <c r="G77" s="25">
        <v>15240</v>
      </c>
      <c r="H77" s="25">
        <v>6260</v>
      </c>
    </row>
    <row r="78" spans="1:13" ht="16.05" customHeight="1" x14ac:dyDescent="0.25">
      <c r="A78" s="18" t="s">
        <v>519</v>
      </c>
      <c r="B78" s="33" t="s">
        <v>204</v>
      </c>
      <c r="C78" s="24" t="s">
        <v>342</v>
      </c>
      <c r="D78" s="24" t="s">
        <v>343</v>
      </c>
      <c r="E78" s="25">
        <v>0</v>
      </c>
      <c r="F78" s="25">
        <v>0</v>
      </c>
      <c r="G78" s="25">
        <v>18000</v>
      </c>
      <c r="H78" s="25">
        <v>0</v>
      </c>
    </row>
    <row r="79" spans="1:13" ht="16.05" customHeight="1" x14ac:dyDescent="0.25">
      <c r="A79" s="18" t="s">
        <v>519</v>
      </c>
      <c r="B79" s="33" t="s">
        <v>205</v>
      </c>
      <c r="C79" s="24" t="s">
        <v>344</v>
      </c>
      <c r="D79" s="24" t="s">
        <v>2</v>
      </c>
      <c r="E79" s="25">
        <v>0</v>
      </c>
      <c r="F79" s="25">
        <v>-23564</v>
      </c>
      <c r="G79" s="25">
        <v>-30900</v>
      </c>
      <c r="H79" s="25">
        <v>-41850</v>
      </c>
    </row>
    <row r="80" spans="1:13" ht="16.05" customHeight="1" x14ac:dyDescent="0.25">
      <c r="A80" s="18" t="s">
        <v>519</v>
      </c>
      <c r="B80" s="33" t="s">
        <v>205</v>
      </c>
      <c r="C80" s="24" t="s">
        <v>345</v>
      </c>
      <c r="D80" s="24" t="s">
        <v>88</v>
      </c>
      <c r="E80" s="25">
        <v>0</v>
      </c>
      <c r="F80" s="25">
        <v>0</v>
      </c>
      <c r="G80" s="25">
        <v>-3050</v>
      </c>
      <c r="H80" s="25">
        <v>-4065</v>
      </c>
    </row>
    <row r="81" spans="1:8" ht="16.05" customHeight="1" x14ac:dyDescent="0.25">
      <c r="A81" s="18" t="s">
        <v>519</v>
      </c>
      <c r="B81" s="33" t="s">
        <v>205</v>
      </c>
      <c r="C81" s="24" t="s">
        <v>346</v>
      </c>
      <c r="D81" s="24" t="s">
        <v>347</v>
      </c>
      <c r="E81" s="25">
        <v>0</v>
      </c>
      <c r="F81" s="25">
        <v>0</v>
      </c>
      <c r="G81" s="25">
        <v>0</v>
      </c>
      <c r="H81" s="25">
        <v>-16915</v>
      </c>
    </row>
    <row r="82" spans="1:8" ht="16.05" customHeight="1" x14ac:dyDescent="0.25">
      <c r="A82" s="18" t="s">
        <v>519</v>
      </c>
      <c r="B82" s="33" t="s">
        <v>205</v>
      </c>
      <c r="C82" s="24" t="s">
        <v>348</v>
      </c>
      <c r="D82" s="24" t="s">
        <v>89</v>
      </c>
      <c r="E82" s="25">
        <v>0</v>
      </c>
      <c r="F82" s="25">
        <v>-562</v>
      </c>
      <c r="G82" s="25">
        <v>-4562</v>
      </c>
      <c r="H82" s="25">
        <v>-5100</v>
      </c>
    </row>
    <row r="83" spans="1:8" ht="16.05" customHeight="1" x14ac:dyDescent="0.25">
      <c r="A83" s="18" t="s">
        <v>519</v>
      </c>
      <c r="B83" s="33" t="s">
        <v>207</v>
      </c>
      <c r="C83" s="24" t="s">
        <v>349</v>
      </c>
      <c r="D83" s="24" t="s">
        <v>4</v>
      </c>
      <c r="E83" s="25">
        <v>0</v>
      </c>
      <c r="F83" s="25">
        <v>75000</v>
      </c>
      <c r="G83" s="25">
        <v>100000</v>
      </c>
      <c r="H83" s="25">
        <v>150000</v>
      </c>
    </row>
    <row r="84" spans="1:8" ht="16.05" customHeight="1" x14ac:dyDescent="0.25">
      <c r="A84" s="18" t="s">
        <v>519</v>
      </c>
      <c r="B84" s="33" t="s">
        <v>218</v>
      </c>
      <c r="C84" s="24" t="s">
        <v>350</v>
      </c>
      <c r="D84" s="24" t="s">
        <v>351</v>
      </c>
      <c r="E84" s="25">
        <v>92580</v>
      </c>
      <c r="F84" s="25">
        <v>187624</v>
      </c>
      <c r="G84" s="25">
        <v>360300</v>
      </c>
      <c r="H84" s="25">
        <v>276526</v>
      </c>
    </row>
    <row r="85" spans="1:8" ht="16.05" customHeight="1" x14ac:dyDescent="0.25">
      <c r="A85" s="18" t="s">
        <v>519</v>
      </c>
      <c r="B85" s="33" t="s">
        <v>218</v>
      </c>
      <c r="C85" s="24" t="s">
        <v>352</v>
      </c>
      <c r="D85" s="24" t="s">
        <v>353</v>
      </c>
      <c r="E85" s="25">
        <v>0</v>
      </c>
      <c r="F85" s="25">
        <v>0</v>
      </c>
      <c r="G85" s="25">
        <v>33680</v>
      </c>
      <c r="H85" s="25">
        <v>40691</v>
      </c>
    </row>
    <row r="86" spans="1:8" ht="16.05" customHeight="1" x14ac:dyDescent="0.25">
      <c r="A86" s="18" t="s">
        <v>519</v>
      </c>
      <c r="B86" s="33" t="s">
        <v>218</v>
      </c>
      <c r="C86" s="24" t="s">
        <v>354</v>
      </c>
      <c r="D86" s="24" t="s">
        <v>355</v>
      </c>
      <c r="E86" s="25">
        <v>0</v>
      </c>
      <c r="F86" s="25">
        <v>0</v>
      </c>
      <c r="G86" s="25">
        <v>0</v>
      </c>
      <c r="H86" s="25">
        <v>9457</v>
      </c>
    </row>
    <row r="87" spans="1:8" ht="16.05" customHeight="1" x14ac:dyDescent="0.25">
      <c r="A87" s="18" t="s">
        <v>519</v>
      </c>
      <c r="B87" s="33" t="s">
        <v>219</v>
      </c>
      <c r="C87" s="24" t="s">
        <v>356</v>
      </c>
      <c r="D87" s="24" t="s">
        <v>357</v>
      </c>
      <c r="E87" s="25">
        <v>1000</v>
      </c>
      <c r="F87" s="25">
        <v>1000</v>
      </c>
      <c r="G87" s="25">
        <v>990</v>
      </c>
      <c r="H87" s="25">
        <v>1000</v>
      </c>
    </row>
    <row r="88" spans="1:8" ht="16.05" customHeight="1" x14ac:dyDescent="0.25">
      <c r="A88" s="18" t="s">
        <v>519</v>
      </c>
      <c r="B88" s="33" t="s">
        <v>218</v>
      </c>
      <c r="C88" s="24" t="s">
        <v>358</v>
      </c>
      <c r="D88" s="24" t="s">
        <v>359</v>
      </c>
      <c r="E88" s="25">
        <v>0</v>
      </c>
      <c r="F88" s="25">
        <v>0</v>
      </c>
      <c r="G88" s="25">
        <v>0</v>
      </c>
      <c r="H88" s="25">
        <v>0</v>
      </c>
    </row>
    <row r="89" spans="1:8" ht="16.05" customHeight="1" x14ac:dyDescent="0.25">
      <c r="A89" s="18" t="s">
        <v>519</v>
      </c>
      <c r="B89" s="33" t="s">
        <v>223</v>
      </c>
      <c r="C89" s="24" t="s">
        <v>360</v>
      </c>
      <c r="D89" s="24" t="s">
        <v>80</v>
      </c>
      <c r="E89" s="25">
        <v>150236</v>
      </c>
      <c r="F89" s="25">
        <v>169397</v>
      </c>
      <c r="G89" s="25">
        <v>234245</v>
      </c>
      <c r="H89" s="25">
        <v>245060</v>
      </c>
    </row>
    <row r="90" spans="1:8" ht="16.05" customHeight="1" x14ac:dyDescent="0.25">
      <c r="A90" s="18" t="s">
        <v>519</v>
      </c>
      <c r="B90" s="33" t="s">
        <v>220</v>
      </c>
      <c r="C90" s="24" t="s">
        <v>361</v>
      </c>
      <c r="D90" s="24" t="s">
        <v>38</v>
      </c>
      <c r="E90" s="25">
        <v>426510</v>
      </c>
      <c r="F90" s="25">
        <v>456039</v>
      </c>
      <c r="G90" s="25">
        <v>495942</v>
      </c>
      <c r="H90" s="25">
        <v>568079</v>
      </c>
    </row>
    <row r="91" spans="1:8" ht="16.05" customHeight="1" x14ac:dyDescent="0.25">
      <c r="A91" s="18" t="s">
        <v>519</v>
      </c>
      <c r="B91" s="33" t="s">
        <v>225</v>
      </c>
      <c r="C91" s="24" t="s">
        <v>362</v>
      </c>
      <c r="D91" s="24" t="s">
        <v>41</v>
      </c>
      <c r="E91" s="25">
        <v>-125630</v>
      </c>
      <c r="F91" s="25">
        <v>-166325</v>
      </c>
      <c r="G91" s="25">
        <v>-219900</v>
      </c>
      <c r="H91" s="25">
        <v>-186802</v>
      </c>
    </row>
    <row r="92" spans="1:8" ht="16.05" customHeight="1" x14ac:dyDescent="0.25">
      <c r="A92" s="18" t="s">
        <v>519</v>
      </c>
      <c r="B92" s="33" t="s">
        <v>240</v>
      </c>
      <c r="C92" s="24" t="s">
        <v>363</v>
      </c>
      <c r="D92" s="24" t="s">
        <v>364</v>
      </c>
      <c r="E92" s="25">
        <v>-2801220</v>
      </c>
      <c r="F92" s="25">
        <v>-2801220</v>
      </c>
      <c r="G92" s="25">
        <v>-3335138</v>
      </c>
      <c r="H92" s="25">
        <v>-4339805</v>
      </c>
    </row>
  </sheetData>
  <sheetProtection algorithmName="SHA-512" hashValue="Lzt/L1io8Fj69cIJksSG4t/PvPXZwYh0OBW3yak1EQqA6DUr+3eFHLN5o6AqUImpMuO/pjUylJ4+tq8tqvie4g==" saltValue="NH8dAKXxQT1VU/CigfLOhg==" spinCount="100000" sheet="1" objects="1" scenarios="1"/>
  <conditionalFormatting sqref="E3:M3">
    <cfRule type="expression" dxfId="16" priority="8" stopIfTrue="1">
      <formula>ROUND(E3,2)&lt;&gt;0</formula>
    </cfRule>
  </conditionalFormatting>
  <conditionalFormatting sqref="A4">
    <cfRule type="expression" dxfId="15" priority="3" stopIfTrue="1">
      <formula>OR(COUNTIF(TBStatus,"add!")&gt;0,COUNTIF(TBStatus,"class!")&gt;0)</formula>
    </cfRule>
  </conditionalFormatting>
  <conditionalFormatting sqref="J3:L3">
    <cfRule type="expression" dxfId="14" priority="2" stopIfTrue="1">
      <formula>ROUND(J3,2)&lt;&gt;0</formula>
    </cfRule>
  </conditionalFormatting>
  <conditionalFormatting sqref="M3">
    <cfRule type="expression" dxfId="13" priority="1" stopIfTrue="1">
      <formula>ROUND(M3,2)&lt;&gt;0</formula>
    </cfRule>
  </conditionalFormatting>
  <pageMargins left="0.51181102362204722" right="0.51181102362204722" top="0.55118110236220474" bottom="0.55118110236220474" header="0.39370078740157483" footer="0.39370078740157483"/>
  <pageSetup paperSize="9" scale="67" fitToHeight="0" orientation="landscape" r:id="rId1"/>
  <headerFooter>
    <oddFooter>&amp;C&amp;"-,Regular"&amp;9Page &amp;P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21144-01AE-471E-9086-21EBFC69DE46}">
  <dimension ref="A1:G1020"/>
  <sheetViews>
    <sheetView workbookViewId="0">
      <selection activeCell="H4" sqref="H4"/>
    </sheetView>
  </sheetViews>
  <sheetFormatPr defaultRowHeight="13.2" x14ac:dyDescent="0.25"/>
  <cols>
    <col min="2" max="2" width="18.21875" customWidth="1"/>
    <col min="6" max="6" width="14.21875" customWidth="1"/>
    <col min="7" max="7" width="8.88671875" customWidth="1"/>
  </cols>
  <sheetData>
    <row r="1" spans="1:7" x14ac:dyDescent="0.25">
      <c r="A1" t="s">
        <v>545</v>
      </c>
      <c r="B1" t="s">
        <v>546</v>
      </c>
      <c r="C1" t="s">
        <v>615</v>
      </c>
      <c r="D1" t="s">
        <v>716</v>
      </c>
      <c r="E1" t="s">
        <v>717</v>
      </c>
      <c r="F1" t="s">
        <v>718</v>
      </c>
      <c r="G1" s="24"/>
    </row>
    <row r="2" spans="1:7" x14ac:dyDescent="0.25">
      <c r="A2" t="s">
        <v>547</v>
      </c>
      <c r="B2" t="s">
        <v>585</v>
      </c>
      <c r="C2">
        <v>23</v>
      </c>
      <c r="D2">
        <f ca="1">RANDBETWEEN(0,1)</f>
        <v>1</v>
      </c>
      <c r="E2">
        <v>1690</v>
      </c>
      <c r="F2" t="s">
        <v>719</v>
      </c>
      <c r="G2" s="24"/>
    </row>
    <row r="3" spans="1:7" x14ac:dyDescent="0.25">
      <c r="A3" t="s">
        <v>548</v>
      </c>
      <c r="B3" t="s">
        <v>586</v>
      </c>
      <c r="C3">
        <v>25</v>
      </c>
      <c r="D3">
        <f t="shared" ref="D3:D66" ca="1" si="0">RANDBETWEEN(0,1)</f>
        <v>0</v>
      </c>
      <c r="E3">
        <v>1200</v>
      </c>
      <c r="F3" t="s">
        <v>719</v>
      </c>
      <c r="G3" s="24"/>
    </row>
    <row r="4" spans="1:7" x14ac:dyDescent="0.25">
      <c r="A4" t="s">
        <v>549</v>
      </c>
      <c r="B4" t="s">
        <v>587</v>
      </c>
      <c r="C4">
        <v>27</v>
      </c>
      <c r="D4">
        <f t="shared" ca="1" si="0"/>
        <v>0</v>
      </c>
      <c r="E4">
        <f>E3+19</f>
        <v>1219</v>
      </c>
      <c r="F4" t="s">
        <v>719</v>
      </c>
      <c r="G4" s="19" t="s">
        <v>33</v>
      </c>
    </row>
    <row r="5" spans="1:7" x14ac:dyDescent="0.25">
      <c r="A5" t="s">
        <v>550</v>
      </c>
      <c r="B5" t="s">
        <v>588</v>
      </c>
      <c r="C5">
        <f>C2+1</f>
        <v>24</v>
      </c>
      <c r="D5">
        <f t="shared" ca="1" si="0"/>
        <v>0</v>
      </c>
      <c r="E5">
        <f t="shared" ref="E5:E12" si="1">E4+19</f>
        <v>1238</v>
      </c>
      <c r="F5" t="s">
        <v>719</v>
      </c>
      <c r="G5" s="24" t="s">
        <v>241</v>
      </c>
    </row>
    <row r="6" spans="1:7" x14ac:dyDescent="0.25">
      <c r="A6" t="s">
        <v>551</v>
      </c>
      <c r="B6" t="s">
        <v>589</v>
      </c>
      <c r="C6">
        <f t="shared" ref="C6:C19" si="2">C3+1</f>
        <v>26</v>
      </c>
      <c r="D6">
        <f t="shared" ca="1" si="0"/>
        <v>0</v>
      </c>
      <c r="E6">
        <f t="shared" si="1"/>
        <v>1257</v>
      </c>
      <c r="F6" t="s">
        <v>719</v>
      </c>
      <c r="G6" s="24" t="s">
        <v>242</v>
      </c>
    </row>
    <row r="7" spans="1:7" x14ac:dyDescent="0.25">
      <c r="A7" t="s">
        <v>552</v>
      </c>
      <c r="B7" t="s">
        <v>590</v>
      </c>
      <c r="C7">
        <v>37</v>
      </c>
      <c r="D7">
        <f t="shared" ca="1" si="0"/>
        <v>0</v>
      </c>
      <c r="E7">
        <f t="shared" si="1"/>
        <v>1276</v>
      </c>
      <c r="F7" t="s">
        <v>719</v>
      </c>
      <c r="G7" s="24" t="s">
        <v>243</v>
      </c>
    </row>
    <row r="8" spans="1:7" x14ac:dyDescent="0.25">
      <c r="A8" t="s">
        <v>553</v>
      </c>
      <c r="B8" t="s">
        <v>591</v>
      </c>
      <c r="C8">
        <f>C5+1</f>
        <v>25</v>
      </c>
      <c r="D8">
        <f t="shared" ca="1" si="0"/>
        <v>0</v>
      </c>
      <c r="E8">
        <f t="shared" si="1"/>
        <v>1295</v>
      </c>
      <c r="F8" t="s">
        <v>719</v>
      </c>
      <c r="G8" s="24" t="s">
        <v>244</v>
      </c>
    </row>
    <row r="9" spans="1:7" x14ac:dyDescent="0.25">
      <c r="A9" t="s">
        <v>554</v>
      </c>
      <c r="B9" t="s">
        <v>616</v>
      </c>
      <c r="C9">
        <f t="shared" si="2"/>
        <v>27</v>
      </c>
      <c r="D9">
        <f t="shared" ca="1" si="0"/>
        <v>1</v>
      </c>
      <c r="E9">
        <f t="shared" si="1"/>
        <v>1314</v>
      </c>
      <c r="F9" t="s">
        <v>719</v>
      </c>
      <c r="G9" s="24" t="s">
        <v>246</v>
      </c>
    </row>
    <row r="10" spans="1:7" x14ac:dyDescent="0.25">
      <c r="A10" t="s">
        <v>555</v>
      </c>
      <c r="B10" t="s">
        <v>593</v>
      </c>
      <c r="C10">
        <f t="shared" si="2"/>
        <v>38</v>
      </c>
      <c r="D10">
        <f t="shared" ca="1" si="0"/>
        <v>1</v>
      </c>
      <c r="E10">
        <f t="shared" si="1"/>
        <v>1333</v>
      </c>
      <c r="F10" t="s">
        <v>719</v>
      </c>
      <c r="G10" s="24" t="s">
        <v>248</v>
      </c>
    </row>
    <row r="11" spans="1:7" x14ac:dyDescent="0.25">
      <c r="A11" t="s">
        <v>556</v>
      </c>
      <c r="B11" t="s">
        <v>594</v>
      </c>
      <c r="C11">
        <f t="shared" si="2"/>
        <v>26</v>
      </c>
      <c r="D11">
        <f t="shared" ca="1" si="0"/>
        <v>1</v>
      </c>
      <c r="E11">
        <f t="shared" si="1"/>
        <v>1352</v>
      </c>
      <c r="F11" t="s">
        <v>719</v>
      </c>
      <c r="G11" s="24" t="s">
        <v>250</v>
      </c>
    </row>
    <row r="12" spans="1:7" x14ac:dyDescent="0.25">
      <c r="A12" t="s">
        <v>557</v>
      </c>
      <c r="B12" t="s">
        <v>586</v>
      </c>
      <c r="C12">
        <f t="shared" si="2"/>
        <v>28</v>
      </c>
      <c r="D12">
        <f t="shared" ca="1" si="0"/>
        <v>0</v>
      </c>
      <c r="E12">
        <f t="shared" si="1"/>
        <v>1371</v>
      </c>
      <c r="F12" t="s">
        <v>719</v>
      </c>
      <c r="G12" s="24" t="s">
        <v>251</v>
      </c>
    </row>
    <row r="13" spans="1:7" x14ac:dyDescent="0.25">
      <c r="A13" t="s">
        <v>558</v>
      </c>
      <c r="B13" t="s">
        <v>595</v>
      </c>
      <c r="C13">
        <f t="shared" si="2"/>
        <v>39</v>
      </c>
      <c r="D13">
        <f t="shared" ca="1" si="0"/>
        <v>1</v>
      </c>
      <c r="E13">
        <f>E3+36</f>
        <v>1236</v>
      </c>
      <c r="F13" t="s">
        <v>719</v>
      </c>
      <c r="G13" s="24" t="s">
        <v>252</v>
      </c>
    </row>
    <row r="14" spans="1:7" x14ac:dyDescent="0.25">
      <c r="A14" t="s">
        <v>559</v>
      </c>
      <c r="B14" t="s">
        <v>596</v>
      </c>
      <c r="C14">
        <f t="shared" si="2"/>
        <v>27</v>
      </c>
      <c r="D14">
        <f t="shared" ca="1" si="0"/>
        <v>1</v>
      </c>
      <c r="E14">
        <f t="shared" ref="E14:E77" si="3">E4+36</f>
        <v>1255</v>
      </c>
      <c r="F14" t="s">
        <v>719</v>
      </c>
      <c r="G14" s="24" t="s">
        <v>253</v>
      </c>
    </row>
    <row r="15" spans="1:7" x14ac:dyDescent="0.25">
      <c r="A15" t="s">
        <v>560</v>
      </c>
      <c r="B15" t="s">
        <v>597</v>
      </c>
      <c r="C15">
        <f t="shared" si="2"/>
        <v>29</v>
      </c>
      <c r="D15">
        <f t="shared" ca="1" si="0"/>
        <v>1</v>
      </c>
      <c r="E15">
        <f t="shared" si="3"/>
        <v>1274</v>
      </c>
      <c r="F15" t="s">
        <v>719</v>
      </c>
      <c r="G15" s="24" t="s">
        <v>255</v>
      </c>
    </row>
    <row r="16" spans="1:7" x14ac:dyDescent="0.25">
      <c r="A16" t="s">
        <v>561</v>
      </c>
      <c r="B16" t="s">
        <v>598</v>
      </c>
      <c r="C16">
        <f t="shared" si="2"/>
        <v>40</v>
      </c>
      <c r="D16">
        <f t="shared" ca="1" si="0"/>
        <v>0</v>
      </c>
      <c r="E16">
        <f t="shared" si="3"/>
        <v>1293</v>
      </c>
      <c r="F16" t="s">
        <v>719</v>
      </c>
      <c r="G16" s="24" t="s">
        <v>257</v>
      </c>
    </row>
    <row r="17" spans="1:7" x14ac:dyDescent="0.25">
      <c r="A17" t="s">
        <v>562</v>
      </c>
      <c r="B17" t="s">
        <v>599</v>
      </c>
      <c r="C17">
        <f t="shared" si="2"/>
        <v>28</v>
      </c>
      <c r="D17">
        <f t="shared" ca="1" si="0"/>
        <v>1</v>
      </c>
      <c r="E17">
        <f t="shared" si="3"/>
        <v>1312</v>
      </c>
      <c r="F17" t="s">
        <v>719</v>
      </c>
      <c r="G17" s="24" t="s">
        <v>259</v>
      </c>
    </row>
    <row r="18" spans="1:7" x14ac:dyDescent="0.25">
      <c r="A18" t="s">
        <v>559</v>
      </c>
      <c r="B18" t="s">
        <v>587</v>
      </c>
      <c r="C18">
        <f t="shared" si="2"/>
        <v>30</v>
      </c>
      <c r="D18">
        <f t="shared" ca="1" si="0"/>
        <v>1</v>
      </c>
      <c r="E18">
        <f t="shared" si="3"/>
        <v>1331</v>
      </c>
      <c r="F18" t="s">
        <v>719</v>
      </c>
      <c r="G18" s="24" t="s">
        <v>260</v>
      </c>
    </row>
    <row r="19" spans="1:7" x14ac:dyDescent="0.25">
      <c r="A19" t="s">
        <v>563</v>
      </c>
      <c r="B19" t="s">
        <v>600</v>
      </c>
      <c r="C19">
        <f t="shared" si="2"/>
        <v>41</v>
      </c>
      <c r="D19">
        <f t="shared" ca="1" si="0"/>
        <v>0</v>
      </c>
      <c r="E19">
        <f t="shared" si="3"/>
        <v>1350</v>
      </c>
      <c r="F19" t="s">
        <v>719</v>
      </c>
      <c r="G19" s="24" t="s">
        <v>261</v>
      </c>
    </row>
    <row r="20" spans="1:7" x14ac:dyDescent="0.25">
      <c r="A20" t="s">
        <v>564</v>
      </c>
      <c r="B20" t="s">
        <v>601</v>
      </c>
      <c r="C20">
        <v>18</v>
      </c>
      <c r="D20">
        <f t="shared" ca="1" si="0"/>
        <v>1</v>
      </c>
      <c r="E20">
        <f t="shared" si="3"/>
        <v>1369</v>
      </c>
      <c r="F20" t="s">
        <v>719</v>
      </c>
      <c r="G20" s="24" t="s">
        <v>262</v>
      </c>
    </row>
    <row r="21" spans="1:7" x14ac:dyDescent="0.25">
      <c r="A21" t="s">
        <v>565</v>
      </c>
      <c r="B21" t="s">
        <v>602</v>
      </c>
      <c r="C21">
        <v>21</v>
      </c>
      <c r="D21">
        <f t="shared" ca="1" si="0"/>
        <v>0</v>
      </c>
      <c r="E21">
        <f t="shared" si="3"/>
        <v>1388</v>
      </c>
      <c r="F21" t="s">
        <v>719</v>
      </c>
      <c r="G21" s="24" t="s">
        <v>263</v>
      </c>
    </row>
    <row r="22" spans="1:7" x14ac:dyDescent="0.25">
      <c r="A22" t="s">
        <v>566</v>
      </c>
      <c r="B22" t="s">
        <v>603</v>
      </c>
      <c r="C22">
        <v>23</v>
      </c>
      <c r="D22">
        <f t="shared" ca="1" si="0"/>
        <v>1</v>
      </c>
      <c r="E22">
        <f t="shared" si="3"/>
        <v>1407</v>
      </c>
      <c r="F22" t="s">
        <v>719</v>
      </c>
      <c r="G22" s="24" t="s">
        <v>264</v>
      </c>
    </row>
    <row r="23" spans="1:7" x14ac:dyDescent="0.25">
      <c r="A23" t="s">
        <v>567</v>
      </c>
      <c r="B23" t="s">
        <v>604</v>
      </c>
      <c r="C23">
        <v>19</v>
      </c>
      <c r="D23">
        <f t="shared" ca="1" si="0"/>
        <v>1</v>
      </c>
      <c r="E23">
        <f t="shared" si="3"/>
        <v>1272</v>
      </c>
      <c r="F23" t="s">
        <v>719</v>
      </c>
      <c r="G23" s="24" t="s">
        <v>265</v>
      </c>
    </row>
    <row r="24" spans="1:7" x14ac:dyDescent="0.25">
      <c r="A24" t="s">
        <v>568</v>
      </c>
      <c r="B24" t="s">
        <v>605</v>
      </c>
      <c r="C24">
        <v>22</v>
      </c>
      <c r="D24">
        <f t="shared" ca="1" si="0"/>
        <v>0</v>
      </c>
      <c r="E24">
        <f t="shared" si="3"/>
        <v>1291</v>
      </c>
      <c r="F24" t="s">
        <v>719</v>
      </c>
      <c r="G24" s="24" t="s">
        <v>267</v>
      </c>
    </row>
    <row r="25" spans="1:7" x14ac:dyDescent="0.25">
      <c r="A25" t="s">
        <v>569</v>
      </c>
      <c r="B25" t="s">
        <v>605</v>
      </c>
      <c r="C25">
        <f>C20+2</f>
        <v>20</v>
      </c>
      <c r="D25">
        <f t="shared" ca="1" si="0"/>
        <v>1</v>
      </c>
      <c r="E25">
        <f t="shared" si="3"/>
        <v>1310</v>
      </c>
      <c r="F25" t="s">
        <v>719</v>
      </c>
      <c r="G25" s="24" t="s">
        <v>269</v>
      </c>
    </row>
    <row r="26" spans="1:7" x14ac:dyDescent="0.25">
      <c r="A26" t="s">
        <v>570</v>
      </c>
      <c r="B26" t="s">
        <v>595</v>
      </c>
      <c r="C26">
        <f t="shared" ref="C26:C36" si="4">C21+2</f>
        <v>23</v>
      </c>
      <c r="D26">
        <f t="shared" ca="1" si="0"/>
        <v>1</v>
      </c>
      <c r="E26">
        <f t="shared" si="3"/>
        <v>1329</v>
      </c>
      <c r="F26" t="s">
        <v>719</v>
      </c>
      <c r="G26" s="24" t="s">
        <v>271</v>
      </c>
    </row>
    <row r="27" spans="1:7" x14ac:dyDescent="0.25">
      <c r="A27" t="s">
        <v>571</v>
      </c>
      <c r="B27" t="s">
        <v>606</v>
      </c>
      <c r="C27">
        <f t="shared" si="4"/>
        <v>25</v>
      </c>
      <c r="D27">
        <f t="shared" ca="1" si="0"/>
        <v>1</v>
      </c>
      <c r="E27">
        <f t="shared" si="3"/>
        <v>1348</v>
      </c>
      <c r="F27" t="s">
        <v>719</v>
      </c>
      <c r="G27" s="24" t="s">
        <v>273</v>
      </c>
    </row>
    <row r="28" spans="1:7" x14ac:dyDescent="0.25">
      <c r="A28" t="s">
        <v>572</v>
      </c>
      <c r="B28" t="s">
        <v>594</v>
      </c>
      <c r="C28">
        <v>36</v>
      </c>
      <c r="D28">
        <f t="shared" ca="1" si="0"/>
        <v>0</v>
      </c>
      <c r="E28">
        <f t="shared" si="3"/>
        <v>1367</v>
      </c>
      <c r="F28" t="s">
        <v>719</v>
      </c>
      <c r="G28" s="24" t="s">
        <v>275</v>
      </c>
    </row>
    <row r="29" spans="1:7" x14ac:dyDescent="0.25">
      <c r="A29" t="s">
        <v>573</v>
      </c>
      <c r="B29" t="s">
        <v>607</v>
      </c>
      <c r="C29">
        <f t="shared" si="4"/>
        <v>24</v>
      </c>
      <c r="D29">
        <f t="shared" ca="1" si="0"/>
        <v>0</v>
      </c>
      <c r="E29">
        <f t="shared" si="3"/>
        <v>1386</v>
      </c>
      <c r="F29" t="s">
        <v>719</v>
      </c>
      <c r="G29" s="24" t="s">
        <v>277</v>
      </c>
    </row>
    <row r="30" spans="1:7" x14ac:dyDescent="0.25">
      <c r="A30" t="s">
        <v>574</v>
      </c>
      <c r="B30" t="s">
        <v>608</v>
      </c>
      <c r="C30">
        <v>39</v>
      </c>
      <c r="D30">
        <f t="shared" ca="1" si="0"/>
        <v>0</v>
      </c>
      <c r="E30">
        <f t="shared" si="3"/>
        <v>1405</v>
      </c>
      <c r="F30" t="s">
        <v>719</v>
      </c>
      <c r="G30" s="24" t="s">
        <v>278</v>
      </c>
    </row>
    <row r="31" spans="1:7" x14ac:dyDescent="0.25">
      <c r="A31" t="s">
        <v>575</v>
      </c>
      <c r="B31" t="s">
        <v>597</v>
      </c>
      <c r="C31">
        <f t="shared" si="4"/>
        <v>25</v>
      </c>
      <c r="D31">
        <f t="shared" ca="1" si="0"/>
        <v>1</v>
      </c>
      <c r="E31">
        <f t="shared" si="3"/>
        <v>1424</v>
      </c>
      <c r="F31" t="s">
        <v>719</v>
      </c>
      <c r="G31" s="24" t="s">
        <v>279</v>
      </c>
    </row>
    <row r="32" spans="1:7" x14ac:dyDescent="0.25">
      <c r="A32" t="s">
        <v>576</v>
      </c>
      <c r="B32" t="s">
        <v>596</v>
      </c>
      <c r="C32">
        <f t="shared" si="4"/>
        <v>27</v>
      </c>
      <c r="D32">
        <f t="shared" ca="1" si="0"/>
        <v>1</v>
      </c>
      <c r="E32">
        <f t="shared" si="3"/>
        <v>1443</v>
      </c>
      <c r="F32" t="s">
        <v>719</v>
      </c>
      <c r="G32" s="24" t="s">
        <v>280</v>
      </c>
    </row>
    <row r="33" spans="1:7" x14ac:dyDescent="0.25">
      <c r="A33" t="s">
        <v>577</v>
      </c>
      <c r="B33" t="s">
        <v>596</v>
      </c>
      <c r="C33">
        <f t="shared" si="4"/>
        <v>38</v>
      </c>
      <c r="D33">
        <f t="shared" ca="1" si="0"/>
        <v>1</v>
      </c>
      <c r="E33">
        <f t="shared" si="3"/>
        <v>1308</v>
      </c>
      <c r="F33" t="s">
        <v>719</v>
      </c>
      <c r="G33" s="24" t="s">
        <v>281</v>
      </c>
    </row>
    <row r="34" spans="1:7" x14ac:dyDescent="0.25">
      <c r="A34" t="s">
        <v>578</v>
      </c>
      <c r="B34" t="s">
        <v>592</v>
      </c>
      <c r="C34">
        <f t="shared" si="4"/>
        <v>26</v>
      </c>
      <c r="D34">
        <f t="shared" ca="1" si="0"/>
        <v>0</v>
      </c>
      <c r="E34">
        <f t="shared" si="3"/>
        <v>1327</v>
      </c>
      <c r="F34" t="s">
        <v>719</v>
      </c>
      <c r="G34" s="24" t="s">
        <v>282</v>
      </c>
    </row>
    <row r="35" spans="1:7" x14ac:dyDescent="0.25">
      <c r="A35" t="s">
        <v>579</v>
      </c>
      <c r="B35" t="s">
        <v>609</v>
      </c>
      <c r="C35">
        <f t="shared" si="4"/>
        <v>41</v>
      </c>
      <c r="D35">
        <f t="shared" ca="1" si="0"/>
        <v>0</v>
      </c>
      <c r="E35">
        <f t="shared" si="3"/>
        <v>1346</v>
      </c>
      <c r="F35" t="s">
        <v>719</v>
      </c>
      <c r="G35" s="24" t="s">
        <v>283</v>
      </c>
    </row>
    <row r="36" spans="1:7" x14ac:dyDescent="0.25">
      <c r="A36" t="s">
        <v>580</v>
      </c>
      <c r="B36" t="s">
        <v>610</v>
      </c>
      <c r="C36">
        <f t="shared" si="4"/>
        <v>27</v>
      </c>
      <c r="D36">
        <f t="shared" ca="1" si="0"/>
        <v>0</v>
      </c>
      <c r="E36">
        <f t="shared" si="3"/>
        <v>1365</v>
      </c>
      <c r="F36" t="s">
        <v>720</v>
      </c>
      <c r="G36" s="24" t="s">
        <v>285</v>
      </c>
    </row>
    <row r="37" spans="1:7" x14ac:dyDescent="0.25">
      <c r="A37" t="s">
        <v>581</v>
      </c>
      <c r="B37" t="s">
        <v>611</v>
      </c>
      <c r="C37">
        <v>33</v>
      </c>
      <c r="D37">
        <f t="shared" ca="1" si="0"/>
        <v>1</v>
      </c>
      <c r="E37">
        <f t="shared" si="3"/>
        <v>1384</v>
      </c>
      <c r="F37" t="s">
        <v>720</v>
      </c>
      <c r="G37" s="24" t="s">
        <v>286</v>
      </c>
    </row>
    <row r="38" spans="1:7" x14ac:dyDescent="0.25">
      <c r="A38" t="s">
        <v>582</v>
      </c>
      <c r="B38" t="s">
        <v>612</v>
      </c>
      <c r="C38">
        <v>31</v>
      </c>
      <c r="D38">
        <f t="shared" ca="1" si="0"/>
        <v>1</v>
      </c>
      <c r="E38">
        <f t="shared" si="3"/>
        <v>1403</v>
      </c>
      <c r="F38" t="s">
        <v>720</v>
      </c>
      <c r="G38" s="24" t="s">
        <v>287</v>
      </c>
    </row>
    <row r="39" spans="1:7" x14ac:dyDescent="0.25">
      <c r="A39" t="s">
        <v>583</v>
      </c>
      <c r="B39" t="s">
        <v>613</v>
      </c>
      <c r="C39">
        <v>42</v>
      </c>
      <c r="D39">
        <f t="shared" ca="1" si="0"/>
        <v>1</v>
      </c>
      <c r="E39">
        <f t="shared" si="3"/>
        <v>1422</v>
      </c>
      <c r="F39" t="s">
        <v>720</v>
      </c>
      <c r="G39" s="24" t="s">
        <v>289</v>
      </c>
    </row>
    <row r="40" spans="1:7" x14ac:dyDescent="0.25">
      <c r="A40" t="s">
        <v>584</v>
      </c>
      <c r="B40" t="s">
        <v>614</v>
      </c>
      <c r="C40">
        <v>40</v>
      </c>
      <c r="D40">
        <f t="shared" ca="1" si="0"/>
        <v>0</v>
      </c>
      <c r="E40">
        <f t="shared" si="3"/>
        <v>1441</v>
      </c>
      <c r="F40" t="s">
        <v>720</v>
      </c>
      <c r="G40" s="24" t="s">
        <v>290</v>
      </c>
    </row>
    <row r="41" spans="1:7" ht="15.6" x14ac:dyDescent="0.3">
      <c r="A41" s="270" t="s">
        <v>617</v>
      </c>
      <c r="B41" s="270" t="s">
        <v>667</v>
      </c>
      <c r="C41">
        <v>78</v>
      </c>
      <c r="D41">
        <f t="shared" ca="1" si="0"/>
        <v>1</v>
      </c>
      <c r="E41">
        <f t="shared" si="3"/>
        <v>1460</v>
      </c>
      <c r="F41" t="s">
        <v>720</v>
      </c>
      <c r="G41" s="24" t="s">
        <v>292</v>
      </c>
    </row>
    <row r="42" spans="1:7" ht="15.6" x14ac:dyDescent="0.3">
      <c r="A42" s="270" t="s">
        <v>618</v>
      </c>
      <c r="B42" s="270" t="s">
        <v>668</v>
      </c>
      <c r="C42">
        <v>86</v>
      </c>
      <c r="D42">
        <f t="shared" ca="1" si="0"/>
        <v>0</v>
      </c>
      <c r="E42">
        <f t="shared" si="3"/>
        <v>1479</v>
      </c>
      <c r="F42" t="s">
        <v>720</v>
      </c>
      <c r="G42" s="24" t="s">
        <v>294</v>
      </c>
    </row>
    <row r="43" spans="1:7" ht="15.6" x14ac:dyDescent="0.3">
      <c r="A43" s="270" t="s">
        <v>619</v>
      </c>
      <c r="B43" s="270" t="s">
        <v>669</v>
      </c>
      <c r="C43">
        <v>56</v>
      </c>
      <c r="D43">
        <f t="shared" ca="1" si="0"/>
        <v>0</v>
      </c>
      <c r="E43">
        <f t="shared" si="3"/>
        <v>1344</v>
      </c>
      <c r="F43" t="s">
        <v>720</v>
      </c>
      <c r="G43" s="24" t="s">
        <v>296</v>
      </c>
    </row>
    <row r="44" spans="1:7" ht="15.6" x14ac:dyDescent="0.3">
      <c r="A44" s="270" t="s">
        <v>620</v>
      </c>
      <c r="B44" s="270" t="s">
        <v>670</v>
      </c>
      <c r="C44">
        <v>45</v>
      </c>
      <c r="D44">
        <f t="shared" ca="1" si="0"/>
        <v>1</v>
      </c>
      <c r="E44">
        <f t="shared" si="3"/>
        <v>1363</v>
      </c>
      <c r="F44" t="s">
        <v>720</v>
      </c>
      <c r="G44" s="24" t="s">
        <v>297</v>
      </c>
    </row>
    <row r="45" spans="1:7" ht="15.6" x14ac:dyDescent="0.3">
      <c r="A45" s="270" t="s">
        <v>621</v>
      </c>
      <c r="B45" s="270" t="s">
        <v>671</v>
      </c>
      <c r="C45">
        <v>33</v>
      </c>
      <c r="D45">
        <f t="shared" ca="1" si="0"/>
        <v>0</v>
      </c>
      <c r="E45">
        <f t="shared" si="3"/>
        <v>1382</v>
      </c>
      <c r="F45" t="s">
        <v>720</v>
      </c>
      <c r="G45" s="24" t="s">
        <v>299</v>
      </c>
    </row>
    <row r="46" spans="1:7" ht="15.6" x14ac:dyDescent="0.3">
      <c r="A46" s="270" t="s">
        <v>622</v>
      </c>
      <c r="B46" s="270" t="s">
        <v>672</v>
      </c>
      <c r="C46">
        <f>C20+3</f>
        <v>21</v>
      </c>
      <c r="D46">
        <f t="shared" ca="1" si="0"/>
        <v>1</v>
      </c>
      <c r="E46">
        <f t="shared" si="3"/>
        <v>1401</v>
      </c>
      <c r="F46" t="s">
        <v>720</v>
      </c>
      <c r="G46" s="24" t="s">
        <v>301</v>
      </c>
    </row>
    <row r="47" spans="1:7" ht="15.6" x14ac:dyDescent="0.3">
      <c r="A47" s="270" t="s">
        <v>623</v>
      </c>
      <c r="B47" s="270" t="s">
        <v>673</v>
      </c>
      <c r="C47">
        <f t="shared" ref="C47:C66" si="5">C21+3</f>
        <v>24</v>
      </c>
      <c r="D47">
        <f t="shared" ca="1" si="0"/>
        <v>0</v>
      </c>
      <c r="E47">
        <f t="shared" si="3"/>
        <v>1420</v>
      </c>
      <c r="F47" t="s">
        <v>720</v>
      </c>
      <c r="G47" s="24" t="s">
        <v>302</v>
      </c>
    </row>
    <row r="48" spans="1:7" ht="15.6" x14ac:dyDescent="0.3">
      <c r="A48" s="270" t="s">
        <v>624</v>
      </c>
      <c r="B48" s="270" t="s">
        <v>670</v>
      </c>
      <c r="C48">
        <f t="shared" si="5"/>
        <v>26</v>
      </c>
      <c r="D48">
        <f t="shared" ca="1" si="0"/>
        <v>0</v>
      </c>
      <c r="E48">
        <f t="shared" si="3"/>
        <v>1439</v>
      </c>
      <c r="F48" t="s">
        <v>720</v>
      </c>
      <c r="G48" s="24" t="s">
        <v>304</v>
      </c>
    </row>
    <row r="49" spans="1:7" ht="15.6" x14ac:dyDescent="0.3">
      <c r="A49" s="270" t="s">
        <v>625</v>
      </c>
      <c r="B49" s="270" t="s">
        <v>674</v>
      </c>
      <c r="C49">
        <f t="shared" si="5"/>
        <v>22</v>
      </c>
      <c r="D49">
        <f t="shared" ca="1" si="0"/>
        <v>0</v>
      </c>
      <c r="E49">
        <f t="shared" si="3"/>
        <v>1458</v>
      </c>
      <c r="F49" t="s">
        <v>720</v>
      </c>
      <c r="G49" s="24" t="s">
        <v>306</v>
      </c>
    </row>
    <row r="50" spans="1:7" ht="15.6" x14ac:dyDescent="0.3">
      <c r="A50" s="270" t="s">
        <v>626</v>
      </c>
      <c r="B50" s="270" t="s">
        <v>675</v>
      </c>
      <c r="C50">
        <f t="shared" si="5"/>
        <v>25</v>
      </c>
      <c r="D50">
        <f t="shared" ca="1" si="0"/>
        <v>1</v>
      </c>
      <c r="E50">
        <f t="shared" si="3"/>
        <v>1477</v>
      </c>
      <c r="F50" t="s">
        <v>720</v>
      </c>
      <c r="G50" s="24" t="s">
        <v>308</v>
      </c>
    </row>
    <row r="51" spans="1:7" ht="15.6" x14ac:dyDescent="0.3">
      <c r="A51" s="270" t="s">
        <v>627</v>
      </c>
      <c r="B51" s="270" t="s">
        <v>670</v>
      </c>
      <c r="C51">
        <f t="shared" si="5"/>
        <v>23</v>
      </c>
      <c r="D51">
        <f t="shared" ca="1" si="0"/>
        <v>0</v>
      </c>
      <c r="E51">
        <f t="shared" si="3"/>
        <v>1496</v>
      </c>
      <c r="F51" t="s">
        <v>720</v>
      </c>
      <c r="G51" s="24" t="s">
        <v>310</v>
      </c>
    </row>
    <row r="52" spans="1:7" ht="15.6" x14ac:dyDescent="0.3">
      <c r="A52" s="270" t="s">
        <v>628</v>
      </c>
      <c r="B52" s="270" t="s">
        <v>676</v>
      </c>
      <c r="C52">
        <f t="shared" si="5"/>
        <v>26</v>
      </c>
      <c r="D52">
        <f t="shared" ca="1" si="0"/>
        <v>0</v>
      </c>
      <c r="E52">
        <f t="shared" si="3"/>
        <v>1515</v>
      </c>
      <c r="F52" t="s">
        <v>720</v>
      </c>
      <c r="G52" s="24" t="s">
        <v>312</v>
      </c>
    </row>
    <row r="53" spans="1:7" ht="15.6" x14ac:dyDescent="0.3">
      <c r="A53" s="270" t="s">
        <v>629</v>
      </c>
      <c r="B53" s="270" t="s">
        <v>671</v>
      </c>
      <c r="C53">
        <f t="shared" si="5"/>
        <v>28</v>
      </c>
      <c r="D53">
        <f t="shared" ca="1" si="0"/>
        <v>0</v>
      </c>
      <c r="E53">
        <f t="shared" si="3"/>
        <v>1380</v>
      </c>
      <c r="F53" t="s">
        <v>720</v>
      </c>
      <c r="G53" s="24" t="s">
        <v>313</v>
      </c>
    </row>
    <row r="54" spans="1:7" ht="15.6" x14ac:dyDescent="0.3">
      <c r="A54" s="270" t="s">
        <v>630</v>
      </c>
      <c r="B54" s="270" t="s">
        <v>677</v>
      </c>
      <c r="C54">
        <f t="shared" si="5"/>
        <v>39</v>
      </c>
      <c r="D54">
        <f t="shared" ca="1" si="0"/>
        <v>0</v>
      </c>
      <c r="E54">
        <f t="shared" si="3"/>
        <v>1399</v>
      </c>
      <c r="F54" t="s">
        <v>720</v>
      </c>
      <c r="G54" s="24" t="s">
        <v>314</v>
      </c>
    </row>
    <row r="55" spans="1:7" ht="15.6" x14ac:dyDescent="0.3">
      <c r="A55" s="270" t="s">
        <v>631</v>
      </c>
      <c r="B55" s="270" t="s">
        <v>678</v>
      </c>
      <c r="C55">
        <f t="shared" si="5"/>
        <v>27</v>
      </c>
      <c r="D55">
        <f t="shared" ca="1" si="0"/>
        <v>1</v>
      </c>
      <c r="E55">
        <f t="shared" si="3"/>
        <v>1418</v>
      </c>
      <c r="F55" t="s">
        <v>720</v>
      </c>
      <c r="G55" s="24" t="s">
        <v>315</v>
      </c>
    </row>
    <row r="56" spans="1:7" ht="15.6" x14ac:dyDescent="0.3">
      <c r="A56" s="270" t="s">
        <v>627</v>
      </c>
      <c r="B56" s="270" t="s">
        <v>674</v>
      </c>
      <c r="C56">
        <f t="shared" si="5"/>
        <v>42</v>
      </c>
      <c r="D56">
        <f t="shared" ca="1" si="0"/>
        <v>0</v>
      </c>
      <c r="E56">
        <f t="shared" si="3"/>
        <v>1437</v>
      </c>
      <c r="F56" t="s">
        <v>720</v>
      </c>
      <c r="G56" s="24" t="s">
        <v>316</v>
      </c>
    </row>
    <row r="57" spans="1:7" ht="15.6" x14ac:dyDescent="0.3">
      <c r="A57" s="270" t="s">
        <v>624</v>
      </c>
      <c r="B57" s="270" t="s">
        <v>679</v>
      </c>
      <c r="C57">
        <f t="shared" si="5"/>
        <v>28</v>
      </c>
      <c r="D57">
        <f t="shared" ca="1" si="0"/>
        <v>1</v>
      </c>
      <c r="E57">
        <f t="shared" si="3"/>
        <v>1456</v>
      </c>
      <c r="F57" t="s">
        <v>720</v>
      </c>
      <c r="G57" s="24" t="s">
        <v>317</v>
      </c>
    </row>
    <row r="58" spans="1:7" ht="15.6" x14ac:dyDescent="0.3">
      <c r="A58" s="270" t="s">
        <v>632</v>
      </c>
      <c r="B58" s="270" t="s">
        <v>680</v>
      </c>
      <c r="C58">
        <f t="shared" si="5"/>
        <v>30</v>
      </c>
      <c r="D58">
        <f t="shared" ca="1" si="0"/>
        <v>0</v>
      </c>
      <c r="E58">
        <f t="shared" si="3"/>
        <v>1475</v>
      </c>
      <c r="F58" t="s">
        <v>720</v>
      </c>
      <c r="G58" s="24" t="s">
        <v>318</v>
      </c>
    </row>
    <row r="59" spans="1:7" ht="15.6" x14ac:dyDescent="0.3">
      <c r="A59" s="270" t="s">
        <v>617</v>
      </c>
      <c r="B59" s="270" t="s">
        <v>568</v>
      </c>
      <c r="C59">
        <f t="shared" si="5"/>
        <v>41</v>
      </c>
      <c r="D59">
        <f t="shared" ca="1" si="0"/>
        <v>1</v>
      </c>
      <c r="E59">
        <f t="shared" si="3"/>
        <v>1494</v>
      </c>
      <c r="F59" t="s">
        <v>720</v>
      </c>
      <c r="G59" s="24" t="s">
        <v>319</v>
      </c>
    </row>
    <row r="60" spans="1:7" ht="15.6" x14ac:dyDescent="0.3">
      <c r="A60" s="270" t="s">
        <v>633</v>
      </c>
      <c r="B60" s="270" t="s">
        <v>681</v>
      </c>
      <c r="C60">
        <f t="shared" si="5"/>
        <v>29</v>
      </c>
      <c r="D60">
        <f t="shared" ca="1" si="0"/>
        <v>0</v>
      </c>
      <c r="E60">
        <f t="shared" si="3"/>
        <v>1513</v>
      </c>
      <c r="F60" t="s">
        <v>720</v>
      </c>
      <c r="G60" s="24" t="s">
        <v>320</v>
      </c>
    </row>
    <row r="61" spans="1:7" ht="15.6" x14ac:dyDescent="0.3">
      <c r="A61" s="270" t="s">
        <v>634</v>
      </c>
      <c r="B61" s="270" t="s">
        <v>682</v>
      </c>
      <c r="C61">
        <f t="shared" si="5"/>
        <v>44</v>
      </c>
      <c r="D61">
        <f t="shared" ca="1" si="0"/>
        <v>0</v>
      </c>
      <c r="E61">
        <f t="shared" si="3"/>
        <v>1532</v>
      </c>
      <c r="F61" t="s">
        <v>720</v>
      </c>
      <c r="G61" s="24" t="s">
        <v>321</v>
      </c>
    </row>
    <row r="62" spans="1:7" ht="15.6" x14ac:dyDescent="0.3">
      <c r="A62" s="270" t="s">
        <v>635</v>
      </c>
      <c r="B62" s="270" t="s">
        <v>675</v>
      </c>
      <c r="C62">
        <f t="shared" si="5"/>
        <v>30</v>
      </c>
      <c r="D62">
        <f t="shared" ca="1" si="0"/>
        <v>1</v>
      </c>
      <c r="E62">
        <f t="shared" si="3"/>
        <v>1551</v>
      </c>
      <c r="F62" t="s">
        <v>720</v>
      </c>
      <c r="G62" s="24" t="s">
        <v>322</v>
      </c>
    </row>
    <row r="63" spans="1:7" ht="15.6" x14ac:dyDescent="0.3">
      <c r="A63" s="270" t="s">
        <v>636</v>
      </c>
      <c r="B63" s="270" t="s">
        <v>683</v>
      </c>
      <c r="C63">
        <f t="shared" si="5"/>
        <v>36</v>
      </c>
      <c r="D63">
        <f t="shared" ca="1" si="0"/>
        <v>0</v>
      </c>
      <c r="E63">
        <f t="shared" si="3"/>
        <v>1416</v>
      </c>
      <c r="F63" t="s">
        <v>720</v>
      </c>
      <c r="G63" s="24" t="s">
        <v>323</v>
      </c>
    </row>
    <row r="64" spans="1:7" ht="15.6" x14ac:dyDescent="0.3">
      <c r="A64" s="270" t="s">
        <v>634</v>
      </c>
      <c r="B64" s="270" t="s">
        <v>684</v>
      </c>
      <c r="C64">
        <f t="shared" si="5"/>
        <v>34</v>
      </c>
      <c r="D64">
        <f t="shared" ca="1" si="0"/>
        <v>1</v>
      </c>
      <c r="E64">
        <f t="shared" si="3"/>
        <v>1435</v>
      </c>
      <c r="F64" t="s">
        <v>720</v>
      </c>
      <c r="G64" s="24" t="s">
        <v>324</v>
      </c>
    </row>
    <row r="65" spans="1:7" ht="15.6" x14ac:dyDescent="0.3">
      <c r="A65" s="270" t="s">
        <v>637</v>
      </c>
      <c r="B65" s="270" t="s">
        <v>685</v>
      </c>
      <c r="C65">
        <f t="shared" si="5"/>
        <v>45</v>
      </c>
      <c r="D65">
        <f t="shared" ca="1" si="0"/>
        <v>0</v>
      </c>
      <c r="E65">
        <f t="shared" si="3"/>
        <v>1454</v>
      </c>
      <c r="F65" t="s">
        <v>720</v>
      </c>
      <c r="G65" s="24" t="s">
        <v>325</v>
      </c>
    </row>
    <row r="66" spans="1:7" ht="15.6" x14ac:dyDescent="0.3">
      <c r="A66" s="270" t="s">
        <v>623</v>
      </c>
      <c r="B66" s="270" t="s">
        <v>686</v>
      </c>
      <c r="C66">
        <f t="shared" si="5"/>
        <v>43</v>
      </c>
      <c r="D66">
        <f t="shared" ca="1" si="0"/>
        <v>1</v>
      </c>
      <c r="E66">
        <f t="shared" si="3"/>
        <v>1473</v>
      </c>
      <c r="F66" t="s">
        <v>720</v>
      </c>
      <c r="G66" s="24" t="s">
        <v>326</v>
      </c>
    </row>
    <row r="67" spans="1:7" ht="15.6" x14ac:dyDescent="0.3">
      <c r="A67" s="270" t="s">
        <v>638</v>
      </c>
      <c r="B67" s="270" t="s">
        <v>687</v>
      </c>
      <c r="C67">
        <v>36</v>
      </c>
      <c r="D67">
        <f t="shared" ref="D67:D130" ca="1" si="6">RANDBETWEEN(0,1)</f>
        <v>0</v>
      </c>
      <c r="E67">
        <f t="shared" si="3"/>
        <v>1492</v>
      </c>
      <c r="F67" t="s">
        <v>720</v>
      </c>
      <c r="G67" s="24" t="s">
        <v>327</v>
      </c>
    </row>
    <row r="68" spans="1:7" ht="15.6" x14ac:dyDescent="0.3">
      <c r="A68" s="270" t="s">
        <v>628</v>
      </c>
      <c r="B68" s="270" t="s">
        <v>683</v>
      </c>
      <c r="C68">
        <f>C46+5</f>
        <v>26</v>
      </c>
      <c r="D68">
        <f t="shared" ca="1" si="6"/>
        <v>0</v>
      </c>
      <c r="E68">
        <f t="shared" si="3"/>
        <v>1511</v>
      </c>
      <c r="F68" t="s">
        <v>720</v>
      </c>
      <c r="G68" s="24" t="s">
        <v>328</v>
      </c>
    </row>
    <row r="69" spans="1:7" ht="15.6" x14ac:dyDescent="0.3">
      <c r="A69" s="270" t="s">
        <v>626</v>
      </c>
      <c r="B69" s="270" t="s">
        <v>688</v>
      </c>
      <c r="C69">
        <f t="shared" ref="C69:C121" si="7">C47+5</f>
        <v>29</v>
      </c>
      <c r="D69">
        <f t="shared" ca="1" si="6"/>
        <v>0</v>
      </c>
      <c r="E69">
        <f t="shared" si="3"/>
        <v>1530</v>
      </c>
      <c r="F69" t="s">
        <v>720</v>
      </c>
      <c r="G69" s="24" t="s">
        <v>329</v>
      </c>
    </row>
    <row r="70" spans="1:7" ht="15.6" x14ac:dyDescent="0.3">
      <c r="A70" s="270" t="s">
        <v>639</v>
      </c>
      <c r="B70" s="270" t="s">
        <v>689</v>
      </c>
      <c r="C70">
        <f t="shared" si="7"/>
        <v>31</v>
      </c>
      <c r="D70">
        <f t="shared" ca="1" si="6"/>
        <v>0</v>
      </c>
      <c r="E70">
        <f t="shared" si="3"/>
        <v>1549</v>
      </c>
      <c r="F70" t="s">
        <v>720</v>
      </c>
      <c r="G70" s="24" t="s">
        <v>330</v>
      </c>
    </row>
    <row r="71" spans="1:7" ht="15.6" x14ac:dyDescent="0.3">
      <c r="A71" s="270" t="s">
        <v>640</v>
      </c>
      <c r="B71" s="270" t="s">
        <v>690</v>
      </c>
      <c r="C71">
        <f t="shared" si="7"/>
        <v>27</v>
      </c>
      <c r="D71">
        <f t="shared" ca="1" si="6"/>
        <v>1</v>
      </c>
      <c r="E71">
        <f t="shared" si="3"/>
        <v>1568</v>
      </c>
      <c r="F71" t="s">
        <v>720</v>
      </c>
      <c r="G71" s="24" t="s">
        <v>332</v>
      </c>
    </row>
    <row r="72" spans="1:7" ht="15.6" x14ac:dyDescent="0.3">
      <c r="A72" s="270" t="s">
        <v>624</v>
      </c>
      <c r="B72" s="270" t="s">
        <v>667</v>
      </c>
      <c r="C72">
        <f t="shared" si="7"/>
        <v>30</v>
      </c>
      <c r="D72">
        <f t="shared" ca="1" si="6"/>
        <v>0</v>
      </c>
      <c r="E72">
        <f t="shared" si="3"/>
        <v>1587</v>
      </c>
      <c r="F72" t="s">
        <v>720</v>
      </c>
      <c r="G72" s="24" t="s">
        <v>334</v>
      </c>
    </row>
    <row r="73" spans="1:7" ht="15.6" x14ac:dyDescent="0.3">
      <c r="A73" s="270" t="s">
        <v>641</v>
      </c>
      <c r="B73" s="270" t="s">
        <v>673</v>
      </c>
      <c r="C73">
        <f t="shared" si="7"/>
        <v>28</v>
      </c>
      <c r="D73">
        <f t="shared" ca="1" si="6"/>
        <v>0</v>
      </c>
      <c r="E73">
        <f t="shared" si="3"/>
        <v>1452</v>
      </c>
      <c r="F73" t="s">
        <v>720</v>
      </c>
      <c r="G73" s="24" t="s">
        <v>335</v>
      </c>
    </row>
    <row r="74" spans="1:7" ht="15.6" x14ac:dyDescent="0.3">
      <c r="A74" s="270" t="s">
        <v>637</v>
      </c>
      <c r="B74" s="270" t="s">
        <v>684</v>
      </c>
      <c r="C74">
        <f t="shared" si="7"/>
        <v>31</v>
      </c>
      <c r="D74">
        <f t="shared" ca="1" si="6"/>
        <v>1</v>
      </c>
      <c r="E74">
        <f t="shared" si="3"/>
        <v>1471</v>
      </c>
      <c r="F74" t="s">
        <v>720</v>
      </c>
      <c r="G74" s="24" t="s">
        <v>337</v>
      </c>
    </row>
    <row r="75" spans="1:7" ht="15.6" x14ac:dyDescent="0.3">
      <c r="A75" s="270" t="s">
        <v>642</v>
      </c>
      <c r="B75" s="270" t="s">
        <v>674</v>
      </c>
      <c r="C75">
        <f t="shared" si="7"/>
        <v>33</v>
      </c>
      <c r="D75">
        <f t="shared" ca="1" si="6"/>
        <v>1</v>
      </c>
      <c r="E75">
        <f t="shared" si="3"/>
        <v>1490</v>
      </c>
      <c r="F75" t="s">
        <v>720</v>
      </c>
      <c r="G75" s="24" t="s">
        <v>338</v>
      </c>
    </row>
    <row r="76" spans="1:7" ht="15.6" x14ac:dyDescent="0.3">
      <c r="A76" s="270" t="s">
        <v>643</v>
      </c>
      <c r="B76" s="270" t="s">
        <v>691</v>
      </c>
      <c r="C76">
        <f t="shared" si="7"/>
        <v>44</v>
      </c>
      <c r="D76">
        <f t="shared" ca="1" si="6"/>
        <v>0</v>
      </c>
      <c r="E76">
        <f t="shared" si="3"/>
        <v>1509</v>
      </c>
      <c r="F76" t="s">
        <v>720</v>
      </c>
      <c r="G76" s="24" t="s">
        <v>339</v>
      </c>
    </row>
    <row r="77" spans="1:7" ht="15.6" x14ac:dyDescent="0.3">
      <c r="A77" s="270" t="s">
        <v>644</v>
      </c>
      <c r="B77" s="270" t="s">
        <v>692</v>
      </c>
      <c r="C77">
        <f t="shared" si="7"/>
        <v>32</v>
      </c>
      <c r="D77">
        <f t="shared" ca="1" si="6"/>
        <v>1</v>
      </c>
      <c r="E77">
        <f t="shared" si="3"/>
        <v>1528</v>
      </c>
      <c r="F77" t="s">
        <v>720</v>
      </c>
      <c r="G77" s="24" t="s">
        <v>340</v>
      </c>
    </row>
    <row r="78" spans="1:7" ht="15.6" x14ac:dyDescent="0.3">
      <c r="A78" s="270" t="s">
        <v>641</v>
      </c>
      <c r="B78" s="270" t="s">
        <v>677</v>
      </c>
      <c r="C78">
        <f t="shared" si="7"/>
        <v>47</v>
      </c>
      <c r="D78">
        <f t="shared" ca="1" si="6"/>
        <v>0</v>
      </c>
      <c r="E78">
        <f t="shared" ref="E78:E141" si="8">E68+36</f>
        <v>1547</v>
      </c>
      <c r="F78" t="s">
        <v>720</v>
      </c>
      <c r="G78" s="24" t="s">
        <v>342</v>
      </c>
    </row>
    <row r="79" spans="1:7" ht="15.6" x14ac:dyDescent="0.3">
      <c r="A79" s="270" t="s">
        <v>627</v>
      </c>
      <c r="B79" s="270" t="s">
        <v>693</v>
      </c>
      <c r="C79">
        <f t="shared" si="7"/>
        <v>33</v>
      </c>
      <c r="D79">
        <f t="shared" ca="1" si="6"/>
        <v>1</v>
      </c>
      <c r="E79">
        <f t="shared" si="8"/>
        <v>1566</v>
      </c>
      <c r="F79" t="s">
        <v>721</v>
      </c>
      <c r="G79" s="24" t="s">
        <v>344</v>
      </c>
    </row>
    <row r="80" spans="1:7" ht="15.6" x14ac:dyDescent="0.3">
      <c r="A80" s="270" t="s">
        <v>638</v>
      </c>
      <c r="B80" s="270" t="s">
        <v>687</v>
      </c>
      <c r="C80">
        <f t="shared" si="7"/>
        <v>35</v>
      </c>
      <c r="D80">
        <f t="shared" ca="1" si="6"/>
        <v>0</v>
      </c>
      <c r="E80">
        <f t="shared" si="8"/>
        <v>1585</v>
      </c>
      <c r="F80" t="s">
        <v>721</v>
      </c>
      <c r="G80" s="24" t="s">
        <v>345</v>
      </c>
    </row>
    <row r="81" spans="1:7" ht="15.6" x14ac:dyDescent="0.3">
      <c r="A81" s="270" t="s">
        <v>645</v>
      </c>
      <c r="B81" s="270" t="s">
        <v>693</v>
      </c>
      <c r="C81">
        <f t="shared" si="7"/>
        <v>46</v>
      </c>
      <c r="D81">
        <f t="shared" ca="1" si="6"/>
        <v>0</v>
      </c>
      <c r="E81">
        <f t="shared" si="8"/>
        <v>1604</v>
      </c>
      <c r="F81" t="s">
        <v>721</v>
      </c>
      <c r="G81" s="24" t="s">
        <v>346</v>
      </c>
    </row>
    <row r="82" spans="1:7" ht="15.6" x14ac:dyDescent="0.3">
      <c r="A82" s="270" t="s">
        <v>644</v>
      </c>
      <c r="B82" s="270" t="s">
        <v>694</v>
      </c>
      <c r="C82">
        <f t="shared" si="7"/>
        <v>34</v>
      </c>
      <c r="D82">
        <f t="shared" ca="1" si="6"/>
        <v>1</v>
      </c>
      <c r="E82">
        <f t="shared" si="8"/>
        <v>1623</v>
      </c>
      <c r="F82" t="s">
        <v>721</v>
      </c>
      <c r="G82" s="24" t="s">
        <v>348</v>
      </c>
    </row>
    <row r="83" spans="1:7" ht="15.6" x14ac:dyDescent="0.3">
      <c r="A83" s="270" t="s">
        <v>641</v>
      </c>
      <c r="B83" s="270" t="s">
        <v>695</v>
      </c>
      <c r="C83">
        <f t="shared" si="7"/>
        <v>49</v>
      </c>
      <c r="D83">
        <f t="shared" ca="1" si="6"/>
        <v>1</v>
      </c>
      <c r="E83">
        <f t="shared" si="8"/>
        <v>1488</v>
      </c>
      <c r="F83" t="s">
        <v>721</v>
      </c>
      <c r="G83" s="24" t="s">
        <v>349</v>
      </c>
    </row>
    <row r="84" spans="1:7" ht="15.6" x14ac:dyDescent="0.3">
      <c r="A84" s="270" t="s">
        <v>625</v>
      </c>
      <c r="B84" s="270" t="s">
        <v>694</v>
      </c>
      <c r="C84">
        <f t="shared" si="7"/>
        <v>35</v>
      </c>
      <c r="D84">
        <f t="shared" ca="1" si="6"/>
        <v>1</v>
      </c>
      <c r="E84">
        <f t="shared" si="8"/>
        <v>1507</v>
      </c>
      <c r="F84" t="s">
        <v>721</v>
      </c>
      <c r="G84" s="24" t="s">
        <v>350</v>
      </c>
    </row>
    <row r="85" spans="1:7" ht="15.6" x14ac:dyDescent="0.3">
      <c r="A85" s="270" t="s">
        <v>632</v>
      </c>
      <c r="B85" s="270" t="s">
        <v>696</v>
      </c>
      <c r="C85">
        <f t="shared" si="7"/>
        <v>41</v>
      </c>
      <c r="D85">
        <f t="shared" ca="1" si="6"/>
        <v>0</v>
      </c>
      <c r="E85">
        <f t="shared" si="8"/>
        <v>1526</v>
      </c>
      <c r="F85" t="s">
        <v>721</v>
      </c>
      <c r="G85" s="24" t="s">
        <v>352</v>
      </c>
    </row>
    <row r="86" spans="1:7" ht="15.6" x14ac:dyDescent="0.3">
      <c r="A86" s="270" t="s">
        <v>646</v>
      </c>
      <c r="B86" s="270" t="s">
        <v>697</v>
      </c>
      <c r="C86">
        <f t="shared" si="7"/>
        <v>39</v>
      </c>
      <c r="D86">
        <f t="shared" ca="1" si="6"/>
        <v>1</v>
      </c>
      <c r="E86">
        <f t="shared" si="8"/>
        <v>1545</v>
      </c>
      <c r="F86" t="s">
        <v>721</v>
      </c>
      <c r="G86" s="24" t="s">
        <v>354</v>
      </c>
    </row>
    <row r="87" spans="1:7" ht="15.6" x14ac:dyDescent="0.3">
      <c r="A87" s="270" t="s">
        <v>637</v>
      </c>
      <c r="B87" s="270" t="s">
        <v>680</v>
      </c>
      <c r="C87">
        <f t="shared" si="7"/>
        <v>50</v>
      </c>
      <c r="D87">
        <f t="shared" ca="1" si="6"/>
        <v>0</v>
      </c>
      <c r="E87">
        <f t="shared" si="8"/>
        <v>1564</v>
      </c>
      <c r="F87" t="s">
        <v>721</v>
      </c>
      <c r="G87" s="24" t="s">
        <v>356</v>
      </c>
    </row>
    <row r="88" spans="1:7" ht="15.6" x14ac:dyDescent="0.3">
      <c r="A88" s="270" t="s">
        <v>647</v>
      </c>
      <c r="B88" s="270" t="s">
        <v>698</v>
      </c>
      <c r="C88">
        <f t="shared" si="7"/>
        <v>48</v>
      </c>
      <c r="D88">
        <f t="shared" ca="1" si="6"/>
        <v>0</v>
      </c>
      <c r="E88">
        <f t="shared" si="8"/>
        <v>1583</v>
      </c>
      <c r="F88" t="s">
        <v>721</v>
      </c>
      <c r="G88" s="24" t="s">
        <v>358</v>
      </c>
    </row>
    <row r="89" spans="1:7" ht="15.6" x14ac:dyDescent="0.3">
      <c r="A89" s="270" t="s">
        <v>641</v>
      </c>
      <c r="B89" s="270" t="s">
        <v>689</v>
      </c>
      <c r="C89">
        <f t="shared" si="7"/>
        <v>41</v>
      </c>
      <c r="D89">
        <f t="shared" ca="1" si="6"/>
        <v>1</v>
      </c>
      <c r="E89">
        <f t="shared" si="8"/>
        <v>1602</v>
      </c>
      <c r="F89" t="s">
        <v>721</v>
      </c>
      <c r="G89" s="24" t="s">
        <v>360</v>
      </c>
    </row>
    <row r="90" spans="1:7" ht="15.6" x14ac:dyDescent="0.3">
      <c r="A90" s="270" t="s">
        <v>648</v>
      </c>
      <c r="B90" s="270" t="s">
        <v>693</v>
      </c>
      <c r="C90">
        <f t="shared" si="7"/>
        <v>31</v>
      </c>
      <c r="D90">
        <f t="shared" ca="1" si="6"/>
        <v>0</v>
      </c>
      <c r="E90">
        <f t="shared" si="8"/>
        <v>1621</v>
      </c>
      <c r="F90" t="s">
        <v>721</v>
      </c>
      <c r="G90" s="24" t="s">
        <v>361</v>
      </c>
    </row>
    <row r="91" spans="1:7" ht="15.6" x14ac:dyDescent="0.3">
      <c r="A91" s="270" t="s">
        <v>649</v>
      </c>
      <c r="B91" s="270" t="s">
        <v>680</v>
      </c>
      <c r="C91">
        <f t="shared" si="7"/>
        <v>34</v>
      </c>
      <c r="D91">
        <f t="shared" ca="1" si="6"/>
        <v>1</v>
      </c>
      <c r="E91">
        <f t="shared" si="8"/>
        <v>1640</v>
      </c>
      <c r="F91" t="s">
        <v>721</v>
      </c>
      <c r="G91" s="24" t="s">
        <v>362</v>
      </c>
    </row>
    <row r="92" spans="1:7" ht="15.6" x14ac:dyDescent="0.3">
      <c r="A92" s="270" t="s">
        <v>628</v>
      </c>
      <c r="B92" s="270" t="s">
        <v>678</v>
      </c>
      <c r="C92">
        <f t="shared" si="7"/>
        <v>36</v>
      </c>
      <c r="D92">
        <f t="shared" ca="1" si="6"/>
        <v>0</v>
      </c>
      <c r="E92">
        <f t="shared" si="8"/>
        <v>1659</v>
      </c>
      <c r="F92" t="s">
        <v>721</v>
      </c>
      <c r="G92" s="24" t="s">
        <v>363</v>
      </c>
    </row>
    <row r="93" spans="1:7" ht="15.6" x14ac:dyDescent="0.3">
      <c r="A93" s="270" t="s">
        <v>650</v>
      </c>
      <c r="B93" s="270" t="s">
        <v>689</v>
      </c>
      <c r="C93">
        <f>C71+5</f>
        <v>32</v>
      </c>
      <c r="D93">
        <f t="shared" ca="1" si="6"/>
        <v>1</v>
      </c>
      <c r="E93">
        <f>E83+36</f>
        <v>1524</v>
      </c>
      <c r="F93" t="s">
        <v>721</v>
      </c>
    </row>
    <row r="94" spans="1:7" ht="15.6" x14ac:dyDescent="0.3">
      <c r="A94" s="270" t="s">
        <v>651</v>
      </c>
      <c r="B94" s="270" t="s">
        <v>695</v>
      </c>
      <c r="C94">
        <f>C72+5</f>
        <v>35</v>
      </c>
      <c r="D94">
        <f t="shared" ca="1" si="6"/>
        <v>1</v>
      </c>
      <c r="E94">
        <f>E84+36</f>
        <v>1543</v>
      </c>
      <c r="F94" t="s">
        <v>721</v>
      </c>
    </row>
    <row r="95" spans="1:7" ht="15.6" x14ac:dyDescent="0.3">
      <c r="A95" s="270" t="s">
        <v>652</v>
      </c>
      <c r="B95" s="270" t="s">
        <v>683</v>
      </c>
      <c r="C95">
        <f>C73+5</f>
        <v>33</v>
      </c>
      <c r="D95">
        <f t="shared" ca="1" si="6"/>
        <v>1</v>
      </c>
      <c r="E95">
        <f>E85+36</f>
        <v>1562</v>
      </c>
      <c r="F95" t="s">
        <v>721</v>
      </c>
    </row>
    <row r="96" spans="1:7" ht="15.6" x14ac:dyDescent="0.3">
      <c r="A96" s="270" t="s">
        <v>630</v>
      </c>
      <c r="B96" s="270" t="s">
        <v>694</v>
      </c>
      <c r="C96">
        <f>C74+5</f>
        <v>36</v>
      </c>
      <c r="D96">
        <f t="shared" ca="1" si="6"/>
        <v>1</v>
      </c>
      <c r="E96">
        <f>E86+36</f>
        <v>1581</v>
      </c>
      <c r="F96" t="s">
        <v>721</v>
      </c>
    </row>
    <row r="97" spans="1:6" ht="15.6" x14ac:dyDescent="0.3">
      <c r="A97" s="270" t="s">
        <v>645</v>
      </c>
      <c r="B97" s="270" t="s">
        <v>685</v>
      </c>
      <c r="C97">
        <f>C75+5</f>
        <v>38</v>
      </c>
      <c r="D97">
        <f t="shared" ca="1" si="6"/>
        <v>0</v>
      </c>
      <c r="E97">
        <f>E87+36</f>
        <v>1600</v>
      </c>
      <c r="F97" t="s">
        <v>721</v>
      </c>
    </row>
    <row r="98" spans="1:6" ht="15.6" x14ac:dyDescent="0.3">
      <c r="A98" s="270" t="s">
        <v>632</v>
      </c>
      <c r="B98" s="270" t="s">
        <v>689</v>
      </c>
      <c r="C98">
        <f>C76+5</f>
        <v>49</v>
      </c>
      <c r="D98">
        <f t="shared" ca="1" si="6"/>
        <v>0</v>
      </c>
      <c r="E98">
        <f>E88+36</f>
        <v>1619</v>
      </c>
      <c r="F98" t="s">
        <v>721</v>
      </c>
    </row>
    <row r="99" spans="1:6" ht="15.6" x14ac:dyDescent="0.3">
      <c r="A99" s="270" t="s">
        <v>639</v>
      </c>
      <c r="B99" s="270" t="s">
        <v>699</v>
      </c>
      <c r="C99">
        <f>C77+5</f>
        <v>37</v>
      </c>
      <c r="D99">
        <f t="shared" ca="1" si="6"/>
        <v>1</v>
      </c>
      <c r="E99">
        <f>E89+36</f>
        <v>1638</v>
      </c>
      <c r="F99" t="s">
        <v>721</v>
      </c>
    </row>
    <row r="100" spans="1:6" ht="15.6" x14ac:dyDescent="0.3">
      <c r="A100" s="270" t="s">
        <v>638</v>
      </c>
      <c r="B100" s="270" t="s">
        <v>670</v>
      </c>
      <c r="C100">
        <f>C78+5</f>
        <v>52</v>
      </c>
      <c r="D100">
        <f t="shared" ca="1" si="6"/>
        <v>1</v>
      </c>
      <c r="E100">
        <f>E90+36</f>
        <v>1657</v>
      </c>
      <c r="F100" t="s">
        <v>721</v>
      </c>
    </row>
    <row r="101" spans="1:6" ht="15.6" x14ac:dyDescent="0.3">
      <c r="A101" s="270" t="s">
        <v>629</v>
      </c>
      <c r="B101" s="270" t="s">
        <v>694</v>
      </c>
      <c r="C101">
        <f>C79+5</f>
        <v>38</v>
      </c>
      <c r="D101">
        <f t="shared" ca="1" si="6"/>
        <v>0</v>
      </c>
      <c r="E101">
        <f>E91+36</f>
        <v>1676</v>
      </c>
      <c r="F101" t="s">
        <v>721</v>
      </c>
    </row>
    <row r="102" spans="1:6" ht="15.6" x14ac:dyDescent="0.3">
      <c r="A102" s="270" t="s">
        <v>633</v>
      </c>
      <c r="B102" s="270" t="s">
        <v>700</v>
      </c>
      <c r="C102">
        <f>C80+5</f>
        <v>40</v>
      </c>
      <c r="D102">
        <f t="shared" ca="1" si="6"/>
        <v>1</v>
      </c>
      <c r="E102">
        <f>E92+36</f>
        <v>1695</v>
      </c>
      <c r="F102" t="s">
        <v>721</v>
      </c>
    </row>
    <row r="103" spans="1:6" ht="15.6" x14ac:dyDescent="0.3">
      <c r="A103" s="270" t="s">
        <v>624</v>
      </c>
      <c r="B103" s="270" t="s">
        <v>699</v>
      </c>
      <c r="C103">
        <f>C81+5</f>
        <v>51</v>
      </c>
      <c r="D103">
        <f t="shared" ca="1" si="6"/>
        <v>0</v>
      </c>
      <c r="E103">
        <f t="shared" si="8"/>
        <v>1560</v>
      </c>
      <c r="F103" t="s">
        <v>721</v>
      </c>
    </row>
    <row r="104" spans="1:6" ht="15.6" x14ac:dyDescent="0.3">
      <c r="A104" s="270" t="s">
        <v>619</v>
      </c>
      <c r="B104" s="270" t="s">
        <v>701</v>
      </c>
      <c r="C104">
        <f>C82+5</f>
        <v>39</v>
      </c>
      <c r="D104">
        <f t="shared" ca="1" si="6"/>
        <v>1</v>
      </c>
      <c r="E104">
        <f t="shared" si="8"/>
        <v>1579</v>
      </c>
      <c r="F104" t="s">
        <v>721</v>
      </c>
    </row>
    <row r="105" spans="1:6" ht="15.6" x14ac:dyDescent="0.3">
      <c r="A105" s="270" t="s">
        <v>641</v>
      </c>
      <c r="B105" s="270" t="s">
        <v>696</v>
      </c>
      <c r="C105">
        <f>C83+5</f>
        <v>54</v>
      </c>
      <c r="D105">
        <f t="shared" ca="1" si="6"/>
        <v>1</v>
      </c>
      <c r="E105">
        <f t="shared" si="8"/>
        <v>1598</v>
      </c>
      <c r="F105" t="s">
        <v>721</v>
      </c>
    </row>
    <row r="106" spans="1:6" ht="15.6" x14ac:dyDescent="0.3">
      <c r="A106" s="270" t="s">
        <v>653</v>
      </c>
      <c r="B106" s="270" t="s">
        <v>702</v>
      </c>
      <c r="C106">
        <f>C84+5</f>
        <v>40</v>
      </c>
      <c r="D106">
        <f t="shared" ca="1" si="6"/>
        <v>1</v>
      </c>
      <c r="E106">
        <f t="shared" si="8"/>
        <v>1617</v>
      </c>
      <c r="F106" t="s">
        <v>721</v>
      </c>
    </row>
    <row r="107" spans="1:6" ht="15.6" x14ac:dyDescent="0.3">
      <c r="A107" s="270" t="s">
        <v>627</v>
      </c>
      <c r="B107" s="270" t="s">
        <v>681</v>
      </c>
      <c r="C107">
        <f>C85+5</f>
        <v>46</v>
      </c>
      <c r="D107">
        <f t="shared" ca="1" si="6"/>
        <v>0</v>
      </c>
      <c r="E107">
        <f t="shared" si="8"/>
        <v>1636</v>
      </c>
      <c r="F107" t="s">
        <v>721</v>
      </c>
    </row>
    <row r="108" spans="1:6" ht="15.6" x14ac:dyDescent="0.3">
      <c r="A108" s="270" t="s">
        <v>617</v>
      </c>
      <c r="B108" s="270" t="s">
        <v>683</v>
      </c>
      <c r="C108">
        <f>C86+5</f>
        <v>44</v>
      </c>
      <c r="D108">
        <f t="shared" ca="1" si="6"/>
        <v>0</v>
      </c>
      <c r="E108">
        <f t="shared" si="8"/>
        <v>1655</v>
      </c>
      <c r="F108" t="s">
        <v>721</v>
      </c>
    </row>
    <row r="109" spans="1:6" ht="15.6" x14ac:dyDescent="0.3">
      <c r="A109" s="270" t="s">
        <v>621</v>
      </c>
      <c r="B109" s="270" t="s">
        <v>681</v>
      </c>
      <c r="C109">
        <f>C87+5</f>
        <v>55</v>
      </c>
      <c r="D109">
        <f t="shared" ca="1" si="6"/>
        <v>1</v>
      </c>
      <c r="E109">
        <f t="shared" si="8"/>
        <v>1674</v>
      </c>
      <c r="F109" t="s">
        <v>721</v>
      </c>
    </row>
    <row r="110" spans="1:6" ht="15.6" x14ac:dyDescent="0.3">
      <c r="A110" s="270" t="s">
        <v>645</v>
      </c>
      <c r="B110" s="270" t="s">
        <v>703</v>
      </c>
      <c r="C110">
        <f>C88+5</f>
        <v>53</v>
      </c>
      <c r="D110">
        <f t="shared" ca="1" si="6"/>
        <v>0</v>
      </c>
      <c r="E110">
        <f t="shared" si="8"/>
        <v>1693</v>
      </c>
      <c r="F110" t="s">
        <v>721</v>
      </c>
    </row>
    <row r="111" spans="1:6" ht="15.6" x14ac:dyDescent="0.3">
      <c r="A111" s="270" t="s">
        <v>624</v>
      </c>
      <c r="B111" s="270" t="s">
        <v>702</v>
      </c>
      <c r="C111">
        <f>C89+5</f>
        <v>46</v>
      </c>
      <c r="D111">
        <f t="shared" ca="1" si="6"/>
        <v>1</v>
      </c>
      <c r="E111">
        <f t="shared" si="8"/>
        <v>1712</v>
      </c>
      <c r="F111" t="s">
        <v>721</v>
      </c>
    </row>
    <row r="112" spans="1:6" ht="15.6" x14ac:dyDescent="0.3">
      <c r="A112" s="270" t="s">
        <v>654</v>
      </c>
      <c r="B112" s="270" t="s">
        <v>704</v>
      </c>
      <c r="C112">
        <f>C90+5</f>
        <v>36</v>
      </c>
      <c r="D112">
        <f t="shared" ca="1" si="6"/>
        <v>1</v>
      </c>
      <c r="E112">
        <f t="shared" si="8"/>
        <v>1731</v>
      </c>
      <c r="F112" t="s">
        <v>721</v>
      </c>
    </row>
    <row r="113" spans="1:6" ht="15.6" x14ac:dyDescent="0.3">
      <c r="A113" s="270" t="s">
        <v>641</v>
      </c>
      <c r="B113" s="270" t="s">
        <v>696</v>
      </c>
      <c r="C113">
        <f>C91+5</f>
        <v>39</v>
      </c>
      <c r="D113">
        <f t="shared" ca="1" si="6"/>
        <v>0</v>
      </c>
      <c r="E113">
        <f t="shared" si="8"/>
        <v>1596</v>
      </c>
      <c r="F113" t="s">
        <v>721</v>
      </c>
    </row>
    <row r="114" spans="1:6" ht="15.6" x14ac:dyDescent="0.3">
      <c r="A114" s="270" t="s">
        <v>620</v>
      </c>
      <c r="B114" s="270" t="s">
        <v>705</v>
      </c>
      <c r="C114">
        <f>C92+5</f>
        <v>41</v>
      </c>
      <c r="D114">
        <f t="shared" ca="1" si="6"/>
        <v>0</v>
      </c>
      <c r="E114">
        <f t="shared" si="8"/>
        <v>1615</v>
      </c>
      <c r="F114" t="s">
        <v>721</v>
      </c>
    </row>
    <row r="115" spans="1:6" ht="15.6" x14ac:dyDescent="0.3">
      <c r="A115" s="270" t="s">
        <v>622</v>
      </c>
      <c r="B115" s="270" t="s">
        <v>706</v>
      </c>
      <c r="C115">
        <f t="shared" si="7"/>
        <v>37</v>
      </c>
      <c r="D115">
        <f t="shared" ca="1" si="6"/>
        <v>1</v>
      </c>
      <c r="E115">
        <f t="shared" si="8"/>
        <v>1634</v>
      </c>
      <c r="F115" t="s">
        <v>721</v>
      </c>
    </row>
    <row r="116" spans="1:6" ht="15.6" x14ac:dyDescent="0.3">
      <c r="A116" s="270" t="s">
        <v>622</v>
      </c>
      <c r="B116" s="270" t="s">
        <v>707</v>
      </c>
      <c r="C116">
        <f t="shared" si="7"/>
        <v>40</v>
      </c>
      <c r="D116">
        <f t="shared" ca="1" si="6"/>
        <v>1</v>
      </c>
      <c r="E116">
        <f t="shared" si="8"/>
        <v>1653</v>
      </c>
      <c r="F116" t="s">
        <v>721</v>
      </c>
    </row>
    <row r="117" spans="1:6" ht="15.6" x14ac:dyDescent="0.3">
      <c r="A117" s="270" t="s">
        <v>655</v>
      </c>
      <c r="B117" s="270" t="s">
        <v>689</v>
      </c>
      <c r="C117">
        <f t="shared" si="7"/>
        <v>38</v>
      </c>
      <c r="D117">
        <f t="shared" ca="1" si="6"/>
        <v>0</v>
      </c>
      <c r="E117">
        <f t="shared" si="8"/>
        <v>1672</v>
      </c>
      <c r="F117" t="s">
        <v>721</v>
      </c>
    </row>
    <row r="118" spans="1:6" ht="15.6" x14ac:dyDescent="0.3">
      <c r="A118" s="270" t="s">
        <v>638</v>
      </c>
      <c r="B118" s="270" t="s">
        <v>683</v>
      </c>
      <c r="C118">
        <f t="shared" si="7"/>
        <v>41</v>
      </c>
      <c r="D118">
        <f t="shared" ca="1" si="6"/>
        <v>0</v>
      </c>
      <c r="E118">
        <f t="shared" si="8"/>
        <v>1691</v>
      </c>
      <c r="F118" t="s">
        <v>721</v>
      </c>
    </row>
    <row r="119" spans="1:6" ht="15.6" x14ac:dyDescent="0.3">
      <c r="A119" s="270" t="s">
        <v>632</v>
      </c>
      <c r="B119" s="270" t="s">
        <v>679</v>
      </c>
      <c r="C119">
        <f t="shared" si="7"/>
        <v>43</v>
      </c>
      <c r="D119">
        <f t="shared" ca="1" si="6"/>
        <v>0</v>
      </c>
      <c r="E119">
        <f t="shared" si="8"/>
        <v>1710</v>
      </c>
      <c r="F119" t="s">
        <v>721</v>
      </c>
    </row>
    <row r="120" spans="1:6" ht="15.6" x14ac:dyDescent="0.3">
      <c r="A120" s="270" t="s">
        <v>623</v>
      </c>
      <c r="B120" s="270" t="s">
        <v>691</v>
      </c>
      <c r="C120">
        <f t="shared" si="7"/>
        <v>54</v>
      </c>
      <c r="D120">
        <f t="shared" ca="1" si="6"/>
        <v>0</v>
      </c>
      <c r="E120">
        <f t="shared" si="8"/>
        <v>1729</v>
      </c>
      <c r="F120" t="s">
        <v>721</v>
      </c>
    </row>
    <row r="121" spans="1:6" ht="15.6" x14ac:dyDescent="0.3">
      <c r="A121" s="270" t="s">
        <v>620</v>
      </c>
      <c r="B121" s="270" t="s">
        <v>690</v>
      </c>
      <c r="C121">
        <f t="shared" si="7"/>
        <v>42</v>
      </c>
      <c r="D121">
        <f t="shared" ca="1" si="6"/>
        <v>0</v>
      </c>
      <c r="E121">
        <f t="shared" si="8"/>
        <v>1748</v>
      </c>
      <c r="F121" t="s">
        <v>721</v>
      </c>
    </row>
    <row r="122" spans="1:6" ht="15.6" x14ac:dyDescent="0.3">
      <c r="A122" s="270" t="s">
        <v>656</v>
      </c>
      <c r="B122" s="270" t="s">
        <v>678</v>
      </c>
      <c r="C122">
        <v>33</v>
      </c>
      <c r="D122">
        <f t="shared" ca="1" si="6"/>
        <v>1</v>
      </c>
      <c r="E122">
        <f t="shared" si="8"/>
        <v>1767</v>
      </c>
      <c r="F122" t="s">
        <v>721</v>
      </c>
    </row>
    <row r="123" spans="1:6" ht="15.6" x14ac:dyDescent="0.3">
      <c r="A123" s="270" t="s">
        <v>657</v>
      </c>
      <c r="B123" s="270" t="s">
        <v>698</v>
      </c>
      <c r="C123">
        <f t="shared" ref="C123:C144" si="9">C100+5</f>
        <v>57</v>
      </c>
      <c r="D123">
        <f t="shared" ca="1" si="6"/>
        <v>0</v>
      </c>
      <c r="E123">
        <f t="shared" si="8"/>
        <v>1632</v>
      </c>
      <c r="F123" t="s">
        <v>721</v>
      </c>
    </row>
    <row r="124" spans="1:6" ht="15.6" x14ac:dyDescent="0.3">
      <c r="A124" s="270" t="s">
        <v>629</v>
      </c>
      <c r="B124" s="270" t="s">
        <v>568</v>
      </c>
      <c r="C124">
        <f t="shared" si="9"/>
        <v>43</v>
      </c>
      <c r="D124">
        <f t="shared" ca="1" si="6"/>
        <v>0</v>
      </c>
      <c r="E124">
        <f t="shared" si="8"/>
        <v>1651</v>
      </c>
      <c r="F124" t="s">
        <v>721</v>
      </c>
    </row>
    <row r="125" spans="1:6" ht="15.6" x14ac:dyDescent="0.3">
      <c r="A125" s="270" t="s">
        <v>651</v>
      </c>
      <c r="B125" s="270" t="s">
        <v>708</v>
      </c>
      <c r="C125">
        <f t="shared" si="9"/>
        <v>45</v>
      </c>
      <c r="D125">
        <f t="shared" ca="1" si="6"/>
        <v>1</v>
      </c>
      <c r="E125">
        <f t="shared" si="8"/>
        <v>1670</v>
      </c>
      <c r="F125" t="s">
        <v>721</v>
      </c>
    </row>
    <row r="126" spans="1:6" ht="15.6" x14ac:dyDescent="0.3">
      <c r="A126" s="270" t="s">
        <v>648</v>
      </c>
      <c r="B126" s="270" t="s">
        <v>709</v>
      </c>
      <c r="C126">
        <f t="shared" si="9"/>
        <v>56</v>
      </c>
      <c r="D126">
        <f t="shared" ca="1" si="6"/>
        <v>1</v>
      </c>
      <c r="E126">
        <f t="shared" si="8"/>
        <v>1689</v>
      </c>
      <c r="F126" t="s">
        <v>721</v>
      </c>
    </row>
    <row r="127" spans="1:6" ht="15.6" x14ac:dyDescent="0.3">
      <c r="A127" s="270" t="s">
        <v>651</v>
      </c>
      <c r="B127" s="270" t="s">
        <v>710</v>
      </c>
      <c r="C127">
        <f t="shared" si="9"/>
        <v>44</v>
      </c>
      <c r="D127">
        <f t="shared" ca="1" si="6"/>
        <v>1</v>
      </c>
      <c r="E127">
        <f t="shared" si="8"/>
        <v>1708</v>
      </c>
      <c r="F127" t="s">
        <v>721</v>
      </c>
    </row>
    <row r="128" spans="1:6" ht="15.6" x14ac:dyDescent="0.3">
      <c r="A128" s="270" t="s">
        <v>656</v>
      </c>
      <c r="B128" s="270" t="s">
        <v>702</v>
      </c>
      <c r="C128">
        <f t="shared" si="9"/>
        <v>59</v>
      </c>
      <c r="D128">
        <f t="shared" ca="1" si="6"/>
        <v>1</v>
      </c>
      <c r="E128">
        <f t="shared" si="8"/>
        <v>1727</v>
      </c>
      <c r="F128" t="s">
        <v>721</v>
      </c>
    </row>
    <row r="129" spans="1:6" ht="15.6" x14ac:dyDescent="0.3">
      <c r="A129" s="270" t="s">
        <v>632</v>
      </c>
      <c r="B129" s="270" t="s">
        <v>699</v>
      </c>
      <c r="C129">
        <f t="shared" si="9"/>
        <v>45</v>
      </c>
      <c r="D129">
        <f t="shared" ca="1" si="6"/>
        <v>0</v>
      </c>
      <c r="E129">
        <f t="shared" si="8"/>
        <v>1746</v>
      </c>
      <c r="F129" t="s">
        <v>721</v>
      </c>
    </row>
    <row r="130" spans="1:6" ht="15.6" x14ac:dyDescent="0.3">
      <c r="A130" s="270" t="s">
        <v>648</v>
      </c>
      <c r="B130" s="270" t="s">
        <v>673</v>
      </c>
      <c r="C130">
        <f t="shared" si="9"/>
        <v>51</v>
      </c>
      <c r="D130">
        <f t="shared" ca="1" si="6"/>
        <v>0</v>
      </c>
      <c r="E130">
        <f t="shared" si="8"/>
        <v>1765</v>
      </c>
      <c r="F130" t="s">
        <v>721</v>
      </c>
    </row>
    <row r="131" spans="1:6" ht="15.6" x14ac:dyDescent="0.3">
      <c r="A131" s="270" t="s">
        <v>622</v>
      </c>
      <c r="B131" s="270" t="s">
        <v>692</v>
      </c>
      <c r="C131">
        <f t="shared" si="9"/>
        <v>49</v>
      </c>
      <c r="D131">
        <f t="shared" ref="D131:D194" ca="1" si="10">RANDBETWEEN(0,1)</f>
        <v>0</v>
      </c>
      <c r="E131">
        <f t="shared" si="8"/>
        <v>1784</v>
      </c>
      <c r="F131" t="s">
        <v>721</v>
      </c>
    </row>
    <row r="132" spans="1:6" ht="15.6" x14ac:dyDescent="0.3">
      <c r="A132" s="270" t="s">
        <v>649</v>
      </c>
      <c r="B132" s="270" t="s">
        <v>676</v>
      </c>
      <c r="C132">
        <f t="shared" si="9"/>
        <v>60</v>
      </c>
      <c r="D132">
        <f t="shared" ca="1" si="10"/>
        <v>1</v>
      </c>
      <c r="E132">
        <f t="shared" si="8"/>
        <v>1803</v>
      </c>
      <c r="F132" t="s">
        <v>721</v>
      </c>
    </row>
    <row r="133" spans="1:6" ht="15.6" x14ac:dyDescent="0.3">
      <c r="A133" s="270" t="s">
        <v>649</v>
      </c>
      <c r="B133" s="270" t="s">
        <v>700</v>
      </c>
      <c r="C133">
        <f t="shared" si="9"/>
        <v>58</v>
      </c>
      <c r="D133">
        <f t="shared" ca="1" si="10"/>
        <v>0</v>
      </c>
      <c r="E133">
        <f t="shared" si="8"/>
        <v>1668</v>
      </c>
      <c r="F133" t="s">
        <v>722</v>
      </c>
    </row>
    <row r="134" spans="1:6" ht="15.6" x14ac:dyDescent="0.3">
      <c r="A134" s="270" t="s">
        <v>654</v>
      </c>
      <c r="B134" s="270" t="s">
        <v>711</v>
      </c>
      <c r="C134">
        <f t="shared" si="9"/>
        <v>51</v>
      </c>
      <c r="D134">
        <f t="shared" ca="1" si="10"/>
        <v>1</v>
      </c>
      <c r="E134">
        <f t="shared" si="8"/>
        <v>1687</v>
      </c>
      <c r="F134" t="s">
        <v>722</v>
      </c>
    </row>
    <row r="135" spans="1:6" ht="15.6" x14ac:dyDescent="0.3">
      <c r="A135" s="270" t="s">
        <v>619</v>
      </c>
      <c r="B135" s="270" t="s">
        <v>678</v>
      </c>
      <c r="C135">
        <f t="shared" si="9"/>
        <v>41</v>
      </c>
      <c r="D135">
        <f t="shared" ca="1" si="10"/>
        <v>1</v>
      </c>
      <c r="E135">
        <f t="shared" si="8"/>
        <v>1706</v>
      </c>
      <c r="F135" t="s">
        <v>722</v>
      </c>
    </row>
    <row r="136" spans="1:6" ht="15.6" x14ac:dyDescent="0.3">
      <c r="A136" s="270" t="s">
        <v>635</v>
      </c>
      <c r="B136" s="270" t="s">
        <v>712</v>
      </c>
      <c r="C136">
        <f t="shared" si="9"/>
        <v>44</v>
      </c>
      <c r="D136">
        <f t="shared" ca="1" si="10"/>
        <v>0</v>
      </c>
      <c r="E136">
        <f t="shared" si="8"/>
        <v>1725</v>
      </c>
      <c r="F136" t="s">
        <v>722</v>
      </c>
    </row>
    <row r="137" spans="1:6" ht="15.6" x14ac:dyDescent="0.3">
      <c r="A137" s="270" t="s">
        <v>640</v>
      </c>
      <c r="B137" s="270" t="s">
        <v>701</v>
      </c>
      <c r="C137">
        <f t="shared" si="9"/>
        <v>46</v>
      </c>
      <c r="D137">
        <f t="shared" ca="1" si="10"/>
        <v>1</v>
      </c>
      <c r="E137">
        <f t="shared" si="8"/>
        <v>1744</v>
      </c>
      <c r="F137" t="s">
        <v>722</v>
      </c>
    </row>
    <row r="138" spans="1:6" ht="15.6" x14ac:dyDescent="0.3">
      <c r="A138" s="270" t="s">
        <v>652</v>
      </c>
      <c r="B138" s="270" t="s">
        <v>673</v>
      </c>
      <c r="C138">
        <f t="shared" si="9"/>
        <v>42</v>
      </c>
      <c r="D138">
        <f t="shared" ca="1" si="10"/>
        <v>0</v>
      </c>
      <c r="E138">
        <f t="shared" si="8"/>
        <v>1763</v>
      </c>
      <c r="F138" t="s">
        <v>722</v>
      </c>
    </row>
    <row r="139" spans="1:6" ht="15.6" x14ac:dyDescent="0.3">
      <c r="A139" s="270" t="s">
        <v>658</v>
      </c>
      <c r="B139" s="270" t="s">
        <v>702</v>
      </c>
      <c r="C139">
        <f t="shared" si="9"/>
        <v>45</v>
      </c>
      <c r="D139">
        <f t="shared" ca="1" si="10"/>
        <v>0</v>
      </c>
      <c r="E139">
        <f t="shared" si="8"/>
        <v>1782</v>
      </c>
      <c r="F139" t="s">
        <v>722</v>
      </c>
    </row>
    <row r="140" spans="1:6" ht="15.6" x14ac:dyDescent="0.3">
      <c r="A140" s="270" t="s">
        <v>623</v>
      </c>
      <c r="B140" s="270" t="s">
        <v>668</v>
      </c>
      <c r="C140">
        <f t="shared" si="9"/>
        <v>43</v>
      </c>
      <c r="D140">
        <f t="shared" ca="1" si="10"/>
        <v>0</v>
      </c>
      <c r="E140">
        <f t="shared" si="8"/>
        <v>1801</v>
      </c>
      <c r="F140" t="s">
        <v>722</v>
      </c>
    </row>
    <row r="141" spans="1:6" ht="15.6" x14ac:dyDescent="0.3">
      <c r="A141" s="270" t="s">
        <v>650</v>
      </c>
      <c r="B141" s="270" t="s">
        <v>677</v>
      </c>
      <c r="C141">
        <f t="shared" si="9"/>
        <v>46</v>
      </c>
      <c r="D141">
        <f t="shared" ca="1" si="10"/>
        <v>0</v>
      </c>
      <c r="E141">
        <f t="shared" si="8"/>
        <v>1820</v>
      </c>
      <c r="F141" t="s">
        <v>722</v>
      </c>
    </row>
    <row r="142" spans="1:6" ht="15.6" x14ac:dyDescent="0.3">
      <c r="A142" s="270" t="s">
        <v>643</v>
      </c>
      <c r="B142" s="270" t="s">
        <v>687</v>
      </c>
      <c r="C142">
        <f t="shared" si="9"/>
        <v>48</v>
      </c>
      <c r="D142">
        <f t="shared" ca="1" si="10"/>
        <v>0</v>
      </c>
      <c r="E142">
        <f t="shared" ref="E142:E184" si="11">E132+36</f>
        <v>1839</v>
      </c>
      <c r="F142" t="s">
        <v>722</v>
      </c>
    </row>
    <row r="143" spans="1:6" ht="15.6" x14ac:dyDescent="0.3">
      <c r="A143" s="270" t="s">
        <v>632</v>
      </c>
      <c r="B143" s="270" t="s">
        <v>707</v>
      </c>
      <c r="C143">
        <f t="shared" si="9"/>
        <v>59</v>
      </c>
      <c r="D143">
        <f t="shared" ca="1" si="10"/>
        <v>1</v>
      </c>
      <c r="E143">
        <f t="shared" si="11"/>
        <v>1704</v>
      </c>
      <c r="F143" t="s">
        <v>722</v>
      </c>
    </row>
    <row r="144" spans="1:6" ht="15.6" x14ac:dyDescent="0.3">
      <c r="A144" s="270" t="s">
        <v>641</v>
      </c>
      <c r="B144" s="270" t="s">
        <v>568</v>
      </c>
      <c r="C144">
        <f t="shared" si="9"/>
        <v>47</v>
      </c>
      <c r="D144">
        <f t="shared" ca="1" si="10"/>
        <v>1</v>
      </c>
      <c r="E144">
        <f t="shared" si="11"/>
        <v>1723</v>
      </c>
      <c r="F144" t="s">
        <v>722</v>
      </c>
    </row>
    <row r="145" spans="1:6" ht="15.6" x14ac:dyDescent="0.3">
      <c r="A145" s="270" t="s">
        <v>626</v>
      </c>
      <c r="B145" s="270" t="s">
        <v>692</v>
      </c>
      <c r="C145">
        <f t="shared" ref="C145:C154" si="12">C123+5</f>
        <v>62</v>
      </c>
      <c r="D145">
        <f t="shared" ca="1" si="10"/>
        <v>1</v>
      </c>
      <c r="E145">
        <f t="shared" si="11"/>
        <v>1742</v>
      </c>
      <c r="F145" t="s">
        <v>722</v>
      </c>
    </row>
    <row r="146" spans="1:6" ht="15.6" x14ac:dyDescent="0.3">
      <c r="A146" s="270" t="s">
        <v>622</v>
      </c>
      <c r="B146" s="270" t="s">
        <v>699</v>
      </c>
      <c r="C146">
        <f t="shared" si="12"/>
        <v>48</v>
      </c>
      <c r="D146">
        <f t="shared" ca="1" si="10"/>
        <v>1</v>
      </c>
      <c r="E146">
        <f t="shared" si="11"/>
        <v>1761</v>
      </c>
      <c r="F146" t="s">
        <v>722</v>
      </c>
    </row>
    <row r="147" spans="1:6" ht="15.6" x14ac:dyDescent="0.3">
      <c r="A147" s="270" t="s">
        <v>652</v>
      </c>
      <c r="B147" s="270" t="s">
        <v>671</v>
      </c>
      <c r="C147">
        <f t="shared" si="12"/>
        <v>50</v>
      </c>
      <c r="D147">
        <f t="shared" ca="1" si="10"/>
        <v>1</v>
      </c>
      <c r="E147">
        <f t="shared" si="11"/>
        <v>1780</v>
      </c>
      <c r="F147" t="s">
        <v>722</v>
      </c>
    </row>
    <row r="148" spans="1:6" ht="15.6" x14ac:dyDescent="0.3">
      <c r="A148" s="270" t="s">
        <v>653</v>
      </c>
      <c r="B148" s="270" t="s">
        <v>568</v>
      </c>
      <c r="C148">
        <f t="shared" si="12"/>
        <v>61</v>
      </c>
      <c r="D148">
        <f t="shared" ca="1" si="10"/>
        <v>1</v>
      </c>
      <c r="E148">
        <f t="shared" si="11"/>
        <v>1799</v>
      </c>
      <c r="F148" t="s">
        <v>722</v>
      </c>
    </row>
    <row r="149" spans="1:6" ht="15.6" x14ac:dyDescent="0.3">
      <c r="A149" s="270" t="s">
        <v>644</v>
      </c>
      <c r="B149" s="270" t="s">
        <v>688</v>
      </c>
      <c r="C149">
        <f t="shared" si="12"/>
        <v>49</v>
      </c>
      <c r="D149">
        <f t="shared" ca="1" si="10"/>
        <v>0</v>
      </c>
      <c r="E149">
        <f t="shared" si="11"/>
        <v>1818</v>
      </c>
      <c r="F149" t="s">
        <v>722</v>
      </c>
    </row>
    <row r="150" spans="1:6" ht="15.6" x14ac:dyDescent="0.3">
      <c r="A150" s="270" t="s">
        <v>621</v>
      </c>
      <c r="B150" s="270" t="s">
        <v>691</v>
      </c>
      <c r="C150">
        <f t="shared" si="12"/>
        <v>64</v>
      </c>
      <c r="D150">
        <f t="shared" ca="1" si="10"/>
        <v>1</v>
      </c>
      <c r="E150">
        <f t="shared" si="11"/>
        <v>1837</v>
      </c>
      <c r="F150" t="s">
        <v>722</v>
      </c>
    </row>
    <row r="151" spans="1:6" ht="15.6" x14ac:dyDescent="0.3">
      <c r="A151" s="270" t="s">
        <v>622</v>
      </c>
      <c r="B151" s="270" t="s">
        <v>667</v>
      </c>
      <c r="C151">
        <f t="shared" si="12"/>
        <v>50</v>
      </c>
      <c r="D151">
        <f t="shared" ca="1" si="10"/>
        <v>1</v>
      </c>
      <c r="E151">
        <f t="shared" si="11"/>
        <v>1856</v>
      </c>
      <c r="F151" t="s">
        <v>722</v>
      </c>
    </row>
    <row r="152" spans="1:6" ht="15.6" x14ac:dyDescent="0.3">
      <c r="A152" s="270" t="s">
        <v>642</v>
      </c>
      <c r="B152" s="270" t="s">
        <v>678</v>
      </c>
      <c r="C152">
        <f t="shared" si="12"/>
        <v>56</v>
      </c>
      <c r="D152">
        <f t="shared" ca="1" si="10"/>
        <v>1</v>
      </c>
      <c r="E152">
        <f t="shared" si="11"/>
        <v>1875</v>
      </c>
      <c r="F152" t="s">
        <v>722</v>
      </c>
    </row>
    <row r="153" spans="1:6" ht="15.6" x14ac:dyDescent="0.3">
      <c r="A153" s="270" t="s">
        <v>659</v>
      </c>
      <c r="B153" s="270" t="s">
        <v>704</v>
      </c>
      <c r="C153">
        <f t="shared" si="12"/>
        <v>54</v>
      </c>
      <c r="D153">
        <f t="shared" ca="1" si="10"/>
        <v>0</v>
      </c>
      <c r="E153">
        <f t="shared" si="11"/>
        <v>1740</v>
      </c>
      <c r="F153" t="s">
        <v>722</v>
      </c>
    </row>
    <row r="154" spans="1:6" ht="15.6" x14ac:dyDescent="0.3">
      <c r="A154" s="270" t="s">
        <v>659</v>
      </c>
      <c r="B154" s="270" t="s">
        <v>703</v>
      </c>
      <c r="C154">
        <f t="shared" si="12"/>
        <v>65</v>
      </c>
      <c r="D154">
        <f t="shared" ca="1" si="10"/>
        <v>0</v>
      </c>
      <c r="E154">
        <f t="shared" si="11"/>
        <v>1759</v>
      </c>
      <c r="F154" t="s">
        <v>722</v>
      </c>
    </row>
    <row r="155" spans="1:6" ht="15.6" x14ac:dyDescent="0.3">
      <c r="A155" s="270" t="s">
        <v>622</v>
      </c>
      <c r="B155" s="270" t="s">
        <v>697</v>
      </c>
      <c r="C155">
        <f t="shared" ref="C155:C176" si="13">C132+5</f>
        <v>65</v>
      </c>
      <c r="D155">
        <f t="shared" ca="1" si="10"/>
        <v>0</v>
      </c>
      <c r="E155">
        <f t="shared" si="11"/>
        <v>1778</v>
      </c>
      <c r="F155" t="s">
        <v>722</v>
      </c>
    </row>
    <row r="156" spans="1:6" ht="15.6" x14ac:dyDescent="0.3">
      <c r="A156" s="270" t="s">
        <v>620</v>
      </c>
      <c r="B156" s="270" t="s">
        <v>680</v>
      </c>
      <c r="C156">
        <f t="shared" si="13"/>
        <v>63</v>
      </c>
      <c r="D156">
        <f t="shared" ca="1" si="10"/>
        <v>1</v>
      </c>
      <c r="E156">
        <f t="shared" si="11"/>
        <v>1797</v>
      </c>
      <c r="F156" t="s">
        <v>722</v>
      </c>
    </row>
    <row r="157" spans="1:6" ht="15.6" x14ac:dyDescent="0.3">
      <c r="A157" s="270" t="s">
        <v>660</v>
      </c>
      <c r="B157" s="270" t="s">
        <v>672</v>
      </c>
      <c r="C157">
        <f t="shared" si="13"/>
        <v>56</v>
      </c>
      <c r="D157">
        <f t="shared" ca="1" si="10"/>
        <v>0</v>
      </c>
      <c r="E157">
        <f t="shared" si="11"/>
        <v>1816</v>
      </c>
      <c r="F157" t="s">
        <v>722</v>
      </c>
    </row>
    <row r="158" spans="1:6" ht="15.6" x14ac:dyDescent="0.3">
      <c r="A158" s="270" t="s">
        <v>647</v>
      </c>
      <c r="B158" s="270" t="s">
        <v>699</v>
      </c>
      <c r="C158">
        <f t="shared" si="13"/>
        <v>46</v>
      </c>
      <c r="D158">
        <f t="shared" ca="1" si="10"/>
        <v>1</v>
      </c>
      <c r="E158">
        <f t="shared" si="11"/>
        <v>1835</v>
      </c>
      <c r="F158" t="s">
        <v>722</v>
      </c>
    </row>
    <row r="159" spans="1:6" ht="15.6" x14ac:dyDescent="0.3">
      <c r="A159" s="270" t="s">
        <v>631</v>
      </c>
      <c r="B159" s="270" t="s">
        <v>690</v>
      </c>
      <c r="C159">
        <f t="shared" si="13"/>
        <v>49</v>
      </c>
      <c r="D159">
        <f t="shared" ca="1" si="10"/>
        <v>0</v>
      </c>
      <c r="E159">
        <f t="shared" si="11"/>
        <v>1854</v>
      </c>
      <c r="F159" t="s">
        <v>722</v>
      </c>
    </row>
    <row r="160" spans="1:6" ht="15.6" x14ac:dyDescent="0.3">
      <c r="A160" s="270" t="s">
        <v>644</v>
      </c>
      <c r="B160" s="270" t="s">
        <v>684</v>
      </c>
      <c r="C160">
        <f t="shared" si="13"/>
        <v>51</v>
      </c>
      <c r="D160">
        <f t="shared" ca="1" si="10"/>
        <v>0</v>
      </c>
      <c r="E160">
        <f t="shared" si="11"/>
        <v>1873</v>
      </c>
      <c r="F160" t="s">
        <v>722</v>
      </c>
    </row>
    <row r="161" spans="1:6" ht="15.6" x14ac:dyDescent="0.3">
      <c r="A161" s="270" t="s">
        <v>640</v>
      </c>
      <c r="B161" s="270" t="s">
        <v>708</v>
      </c>
      <c r="C161">
        <f t="shared" si="13"/>
        <v>47</v>
      </c>
      <c r="D161">
        <f t="shared" ca="1" si="10"/>
        <v>0</v>
      </c>
      <c r="E161">
        <f t="shared" si="11"/>
        <v>1892</v>
      </c>
      <c r="F161" t="s">
        <v>722</v>
      </c>
    </row>
    <row r="162" spans="1:6" ht="15.6" x14ac:dyDescent="0.3">
      <c r="A162" s="270" t="s">
        <v>638</v>
      </c>
      <c r="B162" s="270" t="s">
        <v>688</v>
      </c>
      <c r="C162">
        <f t="shared" si="13"/>
        <v>50</v>
      </c>
      <c r="D162">
        <f t="shared" ca="1" si="10"/>
        <v>1</v>
      </c>
      <c r="E162">
        <f t="shared" si="11"/>
        <v>1911</v>
      </c>
      <c r="F162" t="s">
        <v>722</v>
      </c>
    </row>
    <row r="163" spans="1:6" ht="15.6" x14ac:dyDescent="0.3">
      <c r="A163" s="270" t="s">
        <v>620</v>
      </c>
      <c r="B163" s="270" t="s">
        <v>674</v>
      </c>
      <c r="C163">
        <f t="shared" si="13"/>
        <v>48</v>
      </c>
      <c r="D163">
        <f t="shared" ca="1" si="10"/>
        <v>1</v>
      </c>
      <c r="E163">
        <f t="shared" si="11"/>
        <v>1776</v>
      </c>
      <c r="F163" t="s">
        <v>722</v>
      </c>
    </row>
    <row r="164" spans="1:6" ht="15.6" x14ac:dyDescent="0.3">
      <c r="A164" s="270" t="s">
        <v>644</v>
      </c>
      <c r="B164" s="270" t="s">
        <v>687</v>
      </c>
      <c r="C164">
        <f t="shared" si="13"/>
        <v>51</v>
      </c>
      <c r="D164">
        <f t="shared" ca="1" si="10"/>
        <v>0</v>
      </c>
      <c r="E164">
        <f t="shared" si="11"/>
        <v>1795</v>
      </c>
      <c r="F164" t="s">
        <v>722</v>
      </c>
    </row>
    <row r="165" spans="1:6" ht="15.6" x14ac:dyDescent="0.3">
      <c r="A165" s="270" t="s">
        <v>661</v>
      </c>
      <c r="B165" s="270" t="s">
        <v>689</v>
      </c>
      <c r="C165">
        <f t="shared" si="13"/>
        <v>53</v>
      </c>
      <c r="D165">
        <f t="shared" ca="1" si="10"/>
        <v>0</v>
      </c>
      <c r="E165">
        <f t="shared" si="11"/>
        <v>1814</v>
      </c>
      <c r="F165" t="s">
        <v>722</v>
      </c>
    </row>
    <row r="166" spans="1:6" ht="15.6" x14ac:dyDescent="0.3">
      <c r="A166" s="270" t="s">
        <v>642</v>
      </c>
      <c r="B166" s="270" t="s">
        <v>671</v>
      </c>
      <c r="C166">
        <f t="shared" si="13"/>
        <v>64</v>
      </c>
      <c r="D166">
        <f t="shared" ca="1" si="10"/>
        <v>1</v>
      </c>
      <c r="E166">
        <f t="shared" si="11"/>
        <v>1833</v>
      </c>
      <c r="F166" t="s">
        <v>722</v>
      </c>
    </row>
    <row r="167" spans="1:6" ht="15.6" x14ac:dyDescent="0.3">
      <c r="A167" s="270" t="s">
        <v>660</v>
      </c>
      <c r="B167" s="270" t="s">
        <v>708</v>
      </c>
      <c r="C167">
        <f t="shared" si="13"/>
        <v>52</v>
      </c>
      <c r="D167">
        <f t="shared" ca="1" si="10"/>
        <v>1</v>
      </c>
      <c r="E167">
        <f t="shared" si="11"/>
        <v>1852</v>
      </c>
      <c r="F167" t="s">
        <v>722</v>
      </c>
    </row>
    <row r="168" spans="1:6" ht="15.6" x14ac:dyDescent="0.3">
      <c r="A168" s="270" t="s">
        <v>622</v>
      </c>
      <c r="B168" s="270" t="s">
        <v>709</v>
      </c>
      <c r="C168">
        <f t="shared" si="13"/>
        <v>67</v>
      </c>
      <c r="D168">
        <f t="shared" ca="1" si="10"/>
        <v>1</v>
      </c>
      <c r="E168">
        <f t="shared" si="11"/>
        <v>1871</v>
      </c>
      <c r="F168" t="s">
        <v>722</v>
      </c>
    </row>
    <row r="169" spans="1:6" ht="15.6" x14ac:dyDescent="0.3">
      <c r="A169" s="270" t="s">
        <v>638</v>
      </c>
      <c r="B169" s="270" t="s">
        <v>713</v>
      </c>
      <c r="C169">
        <f t="shared" si="13"/>
        <v>53</v>
      </c>
      <c r="D169">
        <f t="shared" ca="1" si="10"/>
        <v>1</v>
      </c>
      <c r="E169">
        <f t="shared" si="11"/>
        <v>1890</v>
      </c>
      <c r="F169" t="s">
        <v>722</v>
      </c>
    </row>
    <row r="170" spans="1:6" ht="15.6" x14ac:dyDescent="0.3">
      <c r="A170" s="270" t="s">
        <v>623</v>
      </c>
      <c r="B170" s="270" t="s">
        <v>711</v>
      </c>
      <c r="C170">
        <f t="shared" si="13"/>
        <v>55</v>
      </c>
      <c r="D170">
        <f t="shared" ca="1" si="10"/>
        <v>0</v>
      </c>
      <c r="E170">
        <f t="shared" si="11"/>
        <v>1909</v>
      </c>
      <c r="F170" t="s">
        <v>722</v>
      </c>
    </row>
    <row r="171" spans="1:6" ht="15.6" x14ac:dyDescent="0.3">
      <c r="A171" s="270" t="s">
        <v>661</v>
      </c>
      <c r="B171" s="270" t="s">
        <v>714</v>
      </c>
      <c r="C171">
        <f t="shared" si="13"/>
        <v>66</v>
      </c>
      <c r="D171">
        <f t="shared" ca="1" si="10"/>
        <v>0</v>
      </c>
      <c r="E171">
        <f t="shared" si="11"/>
        <v>1928</v>
      </c>
      <c r="F171" t="s">
        <v>722</v>
      </c>
    </row>
    <row r="172" spans="1:6" ht="15.6" x14ac:dyDescent="0.3">
      <c r="A172" s="270" t="s">
        <v>631</v>
      </c>
      <c r="B172" s="270" t="s">
        <v>709</v>
      </c>
      <c r="C172">
        <f t="shared" si="13"/>
        <v>54</v>
      </c>
      <c r="D172">
        <f t="shared" ca="1" si="10"/>
        <v>1</v>
      </c>
      <c r="E172">
        <f t="shared" si="11"/>
        <v>1947</v>
      </c>
      <c r="F172" t="s">
        <v>722</v>
      </c>
    </row>
    <row r="173" spans="1:6" ht="15.6" x14ac:dyDescent="0.3">
      <c r="A173" s="270" t="s">
        <v>623</v>
      </c>
      <c r="B173" s="270" t="s">
        <v>692</v>
      </c>
      <c r="C173">
        <f t="shared" si="13"/>
        <v>69</v>
      </c>
      <c r="D173">
        <f t="shared" ca="1" si="10"/>
        <v>0</v>
      </c>
      <c r="E173">
        <f t="shared" si="11"/>
        <v>1812</v>
      </c>
      <c r="F173" t="s">
        <v>722</v>
      </c>
    </row>
    <row r="174" spans="1:6" ht="15.6" x14ac:dyDescent="0.3">
      <c r="A174" s="270" t="s">
        <v>651</v>
      </c>
      <c r="B174" s="270" t="s">
        <v>702</v>
      </c>
      <c r="C174">
        <f t="shared" si="13"/>
        <v>55</v>
      </c>
      <c r="D174">
        <f t="shared" ca="1" si="10"/>
        <v>0</v>
      </c>
      <c r="E174">
        <f t="shared" si="11"/>
        <v>1831</v>
      </c>
      <c r="F174" t="s">
        <v>722</v>
      </c>
    </row>
    <row r="175" spans="1:6" ht="15.6" x14ac:dyDescent="0.3">
      <c r="A175" s="270" t="s">
        <v>644</v>
      </c>
      <c r="B175" s="270" t="s">
        <v>708</v>
      </c>
      <c r="C175">
        <f t="shared" si="13"/>
        <v>61</v>
      </c>
      <c r="D175">
        <f t="shared" ca="1" si="10"/>
        <v>1</v>
      </c>
      <c r="E175">
        <f t="shared" si="11"/>
        <v>1850</v>
      </c>
      <c r="F175" t="s">
        <v>722</v>
      </c>
    </row>
    <row r="176" spans="1:6" ht="15.6" x14ac:dyDescent="0.3">
      <c r="A176" s="270" t="s">
        <v>636</v>
      </c>
      <c r="B176" s="270" t="s">
        <v>693</v>
      </c>
      <c r="C176">
        <f t="shared" si="13"/>
        <v>59</v>
      </c>
      <c r="D176">
        <f t="shared" ca="1" si="10"/>
        <v>0</v>
      </c>
      <c r="E176">
        <f t="shared" si="11"/>
        <v>1869</v>
      </c>
      <c r="F176" t="s">
        <v>722</v>
      </c>
    </row>
    <row r="177" spans="1:6" ht="15.6" x14ac:dyDescent="0.3">
      <c r="A177" s="270" t="s">
        <v>621</v>
      </c>
      <c r="B177" s="270" t="s">
        <v>568</v>
      </c>
      <c r="C177">
        <f t="shared" ref="C177:C186" si="14">C155+5</f>
        <v>70</v>
      </c>
      <c r="D177">
        <f t="shared" ca="1" si="10"/>
        <v>1</v>
      </c>
      <c r="E177">
        <f t="shared" si="11"/>
        <v>1888</v>
      </c>
      <c r="F177" t="s">
        <v>722</v>
      </c>
    </row>
    <row r="178" spans="1:6" ht="15.6" x14ac:dyDescent="0.3">
      <c r="A178" s="270" t="s">
        <v>625</v>
      </c>
      <c r="B178" s="270" t="s">
        <v>670</v>
      </c>
      <c r="C178">
        <f t="shared" si="14"/>
        <v>68</v>
      </c>
      <c r="D178">
        <f t="shared" ca="1" si="10"/>
        <v>0</v>
      </c>
      <c r="E178">
        <f t="shared" si="11"/>
        <v>1907</v>
      </c>
      <c r="F178" t="s">
        <v>722</v>
      </c>
    </row>
    <row r="179" spans="1:6" ht="15.6" x14ac:dyDescent="0.3">
      <c r="A179" s="270" t="s">
        <v>662</v>
      </c>
      <c r="B179" s="270" t="s">
        <v>688</v>
      </c>
      <c r="C179">
        <f t="shared" si="14"/>
        <v>61</v>
      </c>
      <c r="D179">
        <f t="shared" ca="1" si="10"/>
        <v>0</v>
      </c>
      <c r="E179">
        <f t="shared" si="11"/>
        <v>1926</v>
      </c>
      <c r="F179" t="s">
        <v>722</v>
      </c>
    </row>
    <row r="180" spans="1:6" ht="15.6" x14ac:dyDescent="0.3">
      <c r="A180" s="270" t="s">
        <v>632</v>
      </c>
      <c r="B180" s="270" t="s">
        <v>673</v>
      </c>
      <c r="C180">
        <f t="shared" si="14"/>
        <v>51</v>
      </c>
      <c r="D180">
        <f t="shared" ca="1" si="10"/>
        <v>1</v>
      </c>
      <c r="E180">
        <f t="shared" si="11"/>
        <v>1945</v>
      </c>
      <c r="F180" t="s">
        <v>722</v>
      </c>
    </row>
    <row r="181" spans="1:6" ht="15.6" x14ac:dyDescent="0.3">
      <c r="A181" s="270" t="s">
        <v>662</v>
      </c>
      <c r="B181" s="270" t="s">
        <v>675</v>
      </c>
      <c r="C181">
        <f t="shared" si="14"/>
        <v>54</v>
      </c>
      <c r="D181">
        <f t="shared" ca="1" si="10"/>
        <v>0</v>
      </c>
      <c r="E181">
        <f t="shared" si="11"/>
        <v>1964</v>
      </c>
      <c r="F181" t="s">
        <v>722</v>
      </c>
    </row>
    <row r="182" spans="1:6" ht="15.6" x14ac:dyDescent="0.3">
      <c r="A182" s="270" t="s">
        <v>643</v>
      </c>
      <c r="B182" s="270" t="s">
        <v>684</v>
      </c>
      <c r="C182">
        <f t="shared" si="14"/>
        <v>56</v>
      </c>
      <c r="D182">
        <f t="shared" ca="1" si="10"/>
        <v>0</v>
      </c>
      <c r="E182">
        <f t="shared" si="11"/>
        <v>1983</v>
      </c>
      <c r="F182" t="s">
        <v>722</v>
      </c>
    </row>
    <row r="183" spans="1:6" ht="15.6" x14ac:dyDescent="0.3">
      <c r="A183" s="270" t="s">
        <v>647</v>
      </c>
      <c r="B183" s="270" t="s">
        <v>678</v>
      </c>
      <c r="C183">
        <f t="shared" si="14"/>
        <v>52</v>
      </c>
      <c r="D183">
        <f t="shared" ca="1" si="10"/>
        <v>1</v>
      </c>
      <c r="E183">
        <f t="shared" si="11"/>
        <v>1848</v>
      </c>
      <c r="F183" t="s">
        <v>722</v>
      </c>
    </row>
    <row r="184" spans="1:6" ht="15.6" x14ac:dyDescent="0.3">
      <c r="A184" s="270" t="s">
        <v>659</v>
      </c>
      <c r="B184" s="270" t="s">
        <v>685</v>
      </c>
      <c r="C184">
        <f t="shared" si="14"/>
        <v>55</v>
      </c>
      <c r="D184">
        <f t="shared" ca="1" si="10"/>
        <v>1</v>
      </c>
      <c r="E184">
        <f t="shared" si="11"/>
        <v>1867</v>
      </c>
      <c r="F184" t="s">
        <v>722</v>
      </c>
    </row>
    <row r="185" spans="1:6" ht="15.6" x14ac:dyDescent="0.3">
      <c r="A185" s="270" t="s">
        <v>663</v>
      </c>
      <c r="B185" s="270" t="s">
        <v>703</v>
      </c>
      <c r="C185">
        <f t="shared" si="14"/>
        <v>53</v>
      </c>
      <c r="D185">
        <f t="shared" ca="1" si="10"/>
        <v>1</v>
      </c>
      <c r="E185">
        <f>E184-25</f>
        <v>1842</v>
      </c>
      <c r="F185" t="s">
        <v>722</v>
      </c>
    </row>
    <row r="186" spans="1:6" ht="15.6" x14ac:dyDescent="0.3">
      <c r="A186" s="270" t="s">
        <v>659</v>
      </c>
      <c r="B186" s="270" t="s">
        <v>703</v>
      </c>
      <c r="C186">
        <f t="shared" si="14"/>
        <v>56</v>
      </c>
      <c r="D186">
        <f t="shared" ca="1" si="10"/>
        <v>0</v>
      </c>
      <c r="E186">
        <f t="shared" ref="E186:E246" si="15">E185-25</f>
        <v>1817</v>
      </c>
      <c r="F186" t="s">
        <v>722</v>
      </c>
    </row>
    <row r="187" spans="1:6" ht="15.6" x14ac:dyDescent="0.3">
      <c r="A187" s="270" t="s">
        <v>641</v>
      </c>
      <c r="B187" s="270" t="s">
        <v>673</v>
      </c>
      <c r="C187">
        <f t="shared" ref="C187:C208" si="16">C164+5</f>
        <v>56</v>
      </c>
      <c r="D187">
        <f t="shared" ca="1" si="10"/>
        <v>0</v>
      </c>
      <c r="E187">
        <f t="shared" si="15"/>
        <v>1792</v>
      </c>
      <c r="F187" t="s">
        <v>722</v>
      </c>
    </row>
    <row r="188" spans="1:6" ht="15.6" x14ac:dyDescent="0.3">
      <c r="A188" s="270" t="s">
        <v>625</v>
      </c>
      <c r="B188" s="270" t="s">
        <v>695</v>
      </c>
      <c r="C188">
        <f t="shared" si="16"/>
        <v>58</v>
      </c>
      <c r="D188">
        <f t="shared" ca="1" si="10"/>
        <v>0</v>
      </c>
      <c r="E188">
        <f t="shared" si="15"/>
        <v>1767</v>
      </c>
      <c r="F188" t="s">
        <v>722</v>
      </c>
    </row>
    <row r="189" spans="1:6" ht="15.6" x14ac:dyDescent="0.3">
      <c r="A189" s="270" t="s">
        <v>644</v>
      </c>
      <c r="B189" s="270" t="s">
        <v>701</v>
      </c>
      <c r="C189">
        <f t="shared" si="16"/>
        <v>69</v>
      </c>
      <c r="D189">
        <f t="shared" ca="1" si="10"/>
        <v>0</v>
      </c>
      <c r="E189">
        <f t="shared" si="15"/>
        <v>1742</v>
      </c>
      <c r="F189" t="s">
        <v>722</v>
      </c>
    </row>
    <row r="190" spans="1:6" ht="15.6" x14ac:dyDescent="0.3">
      <c r="A190" s="270" t="s">
        <v>639</v>
      </c>
      <c r="B190" s="270" t="s">
        <v>682</v>
      </c>
      <c r="C190">
        <f t="shared" si="16"/>
        <v>57</v>
      </c>
      <c r="D190">
        <f t="shared" ca="1" si="10"/>
        <v>1</v>
      </c>
      <c r="E190">
        <f t="shared" si="15"/>
        <v>1717</v>
      </c>
      <c r="F190" t="s">
        <v>722</v>
      </c>
    </row>
    <row r="191" spans="1:6" ht="15.6" x14ac:dyDescent="0.3">
      <c r="A191" s="270" t="s">
        <v>631</v>
      </c>
      <c r="B191" s="270" t="s">
        <v>712</v>
      </c>
      <c r="C191">
        <f t="shared" si="16"/>
        <v>72</v>
      </c>
      <c r="D191">
        <f t="shared" ca="1" si="10"/>
        <v>1</v>
      </c>
      <c r="E191">
        <f t="shared" si="15"/>
        <v>1692</v>
      </c>
      <c r="F191" t="s">
        <v>722</v>
      </c>
    </row>
    <row r="192" spans="1:6" ht="15.6" x14ac:dyDescent="0.3">
      <c r="A192" s="270" t="s">
        <v>632</v>
      </c>
      <c r="B192" s="270" t="s">
        <v>689</v>
      </c>
      <c r="C192">
        <f t="shared" si="16"/>
        <v>58</v>
      </c>
      <c r="D192">
        <f t="shared" ca="1" si="10"/>
        <v>1</v>
      </c>
      <c r="E192">
        <f t="shared" si="15"/>
        <v>1667</v>
      </c>
      <c r="F192" t="s">
        <v>722</v>
      </c>
    </row>
    <row r="193" spans="1:6" ht="15.6" x14ac:dyDescent="0.3">
      <c r="A193" s="270" t="s">
        <v>651</v>
      </c>
      <c r="B193" s="270" t="s">
        <v>685</v>
      </c>
      <c r="C193">
        <f t="shared" si="16"/>
        <v>60</v>
      </c>
      <c r="D193">
        <f t="shared" ca="1" si="10"/>
        <v>1</v>
      </c>
      <c r="E193">
        <f t="shared" si="15"/>
        <v>1642</v>
      </c>
      <c r="F193" t="s">
        <v>722</v>
      </c>
    </row>
    <row r="194" spans="1:6" ht="15.6" x14ac:dyDescent="0.3">
      <c r="A194" s="270" t="s">
        <v>623</v>
      </c>
      <c r="B194" s="270" t="s">
        <v>703</v>
      </c>
      <c r="C194">
        <f t="shared" si="16"/>
        <v>71</v>
      </c>
      <c r="D194">
        <f t="shared" ca="1" si="10"/>
        <v>1</v>
      </c>
      <c r="E194">
        <f t="shared" si="15"/>
        <v>1617</v>
      </c>
      <c r="F194" t="s">
        <v>722</v>
      </c>
    </row>
    <row r="195" spans="1:6" ht="15.6" x14ac:dyDescent="0.3">
      <c r="A195" s="270" t="s">
        <v>664</v>
      </c>
      <c r="B195" s="270" t="s">
        <v>682</v>
      </c>
      <c r="C195">
        <f t="shared" si="16"/>
        <v>59</v>
      </c>
      <c r="D195">
        <f t="shared" ref="D195:D258" ca="1" si="17">RANDBETWEEN(0,1)</f>
        <v>0</v>
      </c>
      <c r="E195">
        <f t="shared" si="15"/>
        <v>1592</v>
      </c>
      <c r="F195" t="s">
        <v>722</v>
      </c>
    </row>
    <row r="196" spans="1:6" ht="15.6" x14ac:dyDescent="0.3">
      <c r="A196" s="270" t="s">
        <v>644</v>
      </c>
      <c r="B196" s="270" t="s">
        <v>690</v>
      </c>
      <c r="C196">
        <f t="shared" si="16"/>
        <v>74</v>
      </c>
      <c r="D196">
        <f t="shared" ca="1" si="17"/>
        <v>1</v>
      </c>
      <c r="E196">
        <f t="shared" si="15"/>
        <v>1567</v>
      </c>
      <c r="F196" t="s">
        <v>722</v>
      </c>
    </row>
    <row r="197" spans="1:6" ht="15.6" x14ac:dyDescent="0.3">
      <c r="A197" s="270" t="s">
        <v>651</v>
      </c>
      <c r="B197" s="270" t="s">
        <v>713</v>
      </c>
      <c r="C197">
        <f t="shared" si="16"/>
        <v>60</v>
      </c>
      <c r="D197">
        <f t="shared" ca="1" si="17"/>
        <v>1</v>
      </c>
      <c r="E197">
        <f t="shared" si="15"/>
        <v>1542</v>
      </c>
      <c r="F197" t="s">
        <v>722</v>
      </c>
    </row>
    <row r="198" spans="1:6" ht="15.6" x14ac:dyDescent="0.3">
      <c r="A198" s="270" t="s">
        <v>636</v>
      </c>
      <c r="B198" s="270" t="s">
        <v>677</v>
      </c>
      <c r="C198">
        <f t="shared" si="16"/>
        <v>66</v>
      </c>
      <c r="D198">
        <f t="shared" ca="1" si="17"/>
        <v>0</v>
      </c>
      <c r="E198">
        <f t="shared" si="15"/>
        <v>1517</v>
      </c>
      <c r="F198" t="s">
        <v>722</v>
      </c>
    </row>
    <row r="199" spans="1:6" ht="15.6" x14ac:dyDescent="0.3">
      <c r="A199" s="270" t="s">
        <v>644</v>
      </c>
      <c r="B199" s="270" t="s">
        <v>687</v>
      </c>
      <c r="C199">
        <f t="shared" si="16"/>
        <v>64</v>
      </c>
      <c r="D199">
        <f t="shared" ca="1" si="17"/>
        <v>1</v>
      </c>
      <c r="E199">
        <f t="shared" si="15"/>
        <v>1492</v>
      </c>
      <c r="F199" t="s">
        <v>722</v>
      </c>
    </row>
    <row r="200" spans="1:6" ht="15.6" x14ac:dyDescent="0.3">
      <c r="A200" s="270" t="s">
        <v>663</v>
      </c>
      <c r="B200" s="270" t="s">
        <v>683</v>
      </c>
      <c r="C200">
        <f t="shared" si="16"/>
        <v>75</v>
      </c>
      <c r="D200">
        <f t="shared" ca="1" si="17"/>
        <v>0</v>
      </c>
      <c r="E200">
        <f t="shared" si="15"/>
        <v>1467</v>
      </c>
      <c r="F200" t="s">
        <v>722</v>
      </c>
    </row>
    <row r="201" spans="1:6" ht="15.6" x14ac:dyDescent="0.3">
      <c r="A201" s="270" t="s">
        <v>650</v>
      </c>
      <c r="B201" s="270" t="s">
        <v>711</v>
      </c>
      <c r="C201">
        <f t="shared" si="16"/>
        <v>73</v>
      </c>
      <c r="D201">
        <f t="shared" ca="1" si="17"/>
        <v>1</v>
      </c>
      <c r="E201">
        <f t="shared" si="15"/>
        <v>1442</v>
      </c>
      <c r="F201" t="s">
        <v>722</v>
      </c>
    </row>
    <row r="202" spans="1:6" ht="15.6" x14ac:dyDescent="0.3">
      <c r="A202" s="270" t="s">
        <v>663</v>
      </c>
      <c r="B202" s="270" t="s">
        <v>670</v>
      </c>
      <c r="C202">
        <f t="shared" si="16"/>
        <v>66</v>
      </c>
      <c r="D202">
        <f t="shared" ca="1" si="17"/>
        <v>0</v>
      </c>
      <c r="E202">
        <f t="shared" si="15"/>
        <v>1417</v>
      </c>
      <c r="F202" t="s">
        <v>722</v>
      </c>
    </row>
    <row r="203" spans="1:6" ht="15.6" x14ac:dyDescent="0.3">
      <c r="A203" s="270" t="s">
        <v>659</v>
      </c>
      <c r="B203" s="270" t="s">
        <v>696</v>
      </c>
      <c r="C203">
        <f t="shared" si="16"/>
        <v>56</v>
      </c>
      <c r="D203">
        <f t="shared" ca="1" si="17"/>
        <v>0</v>
      </c>
      <c r="E203">
        <f t="shared" si="15"/>
        <v>1392</v>
      </c>
      <c r="F203" t="s">
        <v>722</v>
      </c>
    </row>
    <row r="204" spans="1:6" ht="15.6" x14ac:dyDescent="0.3">
      <c r="A204" s="270" t="s">
        <v>629</v>
      </c>
      <c r="B204" s="270" t="s">
        <v>674</v>
      </c>
      <c r="C204">
        <f t="shared" si="16"/>
        <v>59</v>
      </c>
      <c r="D204">
        <f t="shared" ca="1" si="17"/>
        <v>1</v>
      </c>
      <c r="E204">
        <f t="shared" si="15"/>
        <v>1367</v>
      </c>
      <c r="F204" t="s">
        <v>722</v>
      </c>
    </row>
    <row r="205" spans="1:6" ht="15.6" x14ac:dyDescent="0.3">
      <c r="A205" s="270" t="s">
        <v>646</v>
      </c>
      <c r="B205" s="270" t="s">
        <v>699</v>
      </c>
      <c r="C205">
        <f t="shared" si="16"/>
        <v>61</v>
      </c>
      <c r="D205">
        <f t="shared" ca="1" si="17"/>
        <v>1</v>
      </c>
      <c r="E205">
        <f t="shared" si="15"/>
        <v>1342</v>
      </c>
      <c r="F205" t="s">
        <v>722</v>
      </c>
    </row>
    <row r="206" spans="1:6" ht="15.6" x14ac:dyDescent="0.3">
      <c r="A206" s="270" t="s">
        <v>640</v>
      </c>
      <c r="B206" s="270" t="s">
        <v>703</v>
      </c>
      <c r="C206">
        <f t="shared" si="16"/>
        <v>57</v>
      </c>
      <c r="D206">
        <f t="shared" ca="1" si="17"/>
        <v>1</v>
      </c>
      <c r="E206">
        <f t="shared" si="15"/>
        <v>1317</v>
      </c>
      <c r="F206" t="s">
        <v>722</v>
      </c>
    </row>
    <row r="207" spans="1:6" ht="15.6" x14ac:dyDescent="0.3">
      <c r="A207" s="270" t="s">
        <v>663</v>
      </c>
      <c r="B207" s="270" t="s">
        <v>711</v>
      </c>
      <c r="C207">
        <f t="shared" si="16"/>
        <v>60</v>
      </c>
      <c r="D207">
        <f t="shared" ca="1" si="17"/>
        <v>1</v>
      </c>
      <c r="E207">
        <f t="shared" si="15"/>
        <v>1292</v>
      </c>
      <c r="F207" t="s">
        <v>722</v>
      </c>
    </row>
    <row r="208" spans="1:6" ht="15.6" x14ac:dyDescent="0.3">
      <c r="A208" s="270" t="s">
        <v>621</v>
      </c>
      <c r="B208" s="270" t="s">
        <v>698</v>
      </c>
      <c r="C208">
        <f t="shared" si="16"/>
        <v>58</v>
      </c>
      <c r="D208">
        <f t="shared" ca="1" si="17"/>
        <v>1</v>
      </c>
      <c r="E208">
        <f t="shared" si="15"/>
        <v>1267</v>
      </c>
      <c r="F208" t="s">
        <v>722</v>
      </c>
    </row>
    <row r="209" spans="1:6" ht="15.6" x14ac:dyDescent="0.3">
      <c r="A209" s="270" t="s">
        <v>643</v>
      </c>
      <c r="B209" s="270" t="s">
        <v>689</v>
      </c>
      <c r="C209">
        <f t="shared" ref="C209:C218" si="18">C187+5</f>
        <v>61</v>
      </c>
      <c r="D209">
        <f t="shared" ca="1" si="17"/>
        <v>1</v>
      </c>
      <c r="E209">
        <f t="shared" si="15"/>
        <v>1242</v>
      </c>
      <c r="F209" t="s">
        <v>722</v>
      </c>
    </row>
    <row r="210" spans="1:6" ht="15.6" x14ac:dyDescent="0.3">
      <c r="A210" s="270" t="s">
        <v>650</v>
      </c>
      <c r="B210" s="270" t="s">
        <v>686</v>
      </c>
      <c r="C210">
        <f t="shared" si="18"/>
        <v>63</v>
      </c>
      <c r="D210">
        <f t="shared" ca="1" si="17"/>
        <v>0</v>
      </c>
      <c r="E210">
        <f t="shared" si="15"/>
        <v>1217</v>
      </c>
      <c r="F210" t="s">
        <v>722</v>
      </c>
    </row>
    <row r="211" spans="1:6" ht="15.6" x14ac:dyDescent="0.3">
      <c r="A211" s="270" t="s">
        <v>622</v>
      </c>
      <c r="B211" s="270" t="s">
        <v>688</v>
      </c>
      <c r="C211">
        <f t="shared" si="18"/>
        <v>74</v>
      </c>
      <c r="D211">
        <f t="shared" ca="1" si="17"/>
        <v>1</v>
      </c>
      <c r="E211">
        <f t="shared" si="15"/>
        <v>1192</v>
      </c>
      <c r="F211" t="s">
        <v>722</v>
      </c>
    </row>
    <row r="212" spans="1:6" ht="15.6" x14ac:dyDescent="0.3">
      <c r="A212" s="270" t="s">
        <v>657</v>
      </c>
      <c r="B212" s="270" t="s">
        <v>693</v>
      </c>
      <c r="C212">
        <f t="shared" si="18"/>
        <v>62</v>
      </c>
      <c r="D212">
        <f t="shared" ca="1" si="17"/>
        <v>0</v>
      </c>
      <c r="E212">
        <f t="shared" si="15"/>
        <v>1167</v>
      </c>
      <c r="F212" t="s">
        <v>722</v>
      </c>
    </row>
    <row r="213" spans="1:6" ht="15.6" x14ac:dyDescent="0.3">
      <c r="A213" s="270" t="s">
        <v>647</v>
      </c>
      <c r="B213" s="270" t="s">
        <v>673</v>
      </c>
      <c r="C213">
        <f t="shared" si="18"/>
        <v>77</v>
      </c>
      <c r="D213">
        <f t="shared" ca="1" si="17"/>
        <v>0</v>
      </c>
      <c r="E213">
        <f t="shared" si="15"/>
        <v>1142</v>
      </c>
      <c r="F213" t="s">
        <v>722</v>
      </c>
    </row>
    <row r="214" spans="1:6" ht="15.6" x14ac:dyDescent="0.3">
      <c r="A214" s="270" t="s">
        <v>629</v>
      </c>
      <c r="B214" s="270" t="s">
        <v>700</v>
      </c>
      <c r="C214">
        <f t="shared" si="18"/>
        <v>63</v>
      </c>
      <c r="D214">
        <f t="shared" ca="1" si="17"/>
        <v>1</v>
      </c>
      <c r="E214">
        <f t="shared" si="15"/>
        <v>1117</v>
      </c>
      <c r="F214" t="s">
        <v>722</v>
      </c>
    </row>
    <row r="215" spans="1:6" ht="15.6" x14ac:dyDescent="0.3">
      <c r="A215" s="270" t="s">
        <v>656</v>
      </c>
      <c r="B215" s="270" t="s">
        <v>702</v>
      </c>
      <c r="C215">
        <f t="shared" si="18"/>
        <v>65</v>
      </c>
      <c r="D215">
        <f t="shared" ca="1" si="17"/>
        <v>1</v>
      </c>
      <c r="E215">
        <f t="shared" si="15"/>
        <v>1092</v>
      </c>
      <c r="F215" t="s">
        <v>722</v>
      </c>
    </row>
    <row r="216" spans="1:6" ht="15.6" x14ac:dyDescent="0.3">
      <c r="A216" s="270" t="s">
        <v>634</v>
      </c>
      <c r="B216" s="270" t="s">
        <v>709</v>
      </c>
      <c r="C216">
        <f t="shared" si="18"/>
        <v>76</v>
      </c>
      <c r="D216">
        <f t="shared" ca="1" si="17"/>
        <v>1</v>
      </c>
      <c r="E216">
        <f t="shared" si="15"/>
        <v>1067</v>
      </c>
      <c r="F216" t="s">
        <v>722</v>
      </c>
    </row>
    <row r="217" spans="1:6" ht="15.6" x14ac:dyDescent="0.3">
      <c r="A217" s="270" t="s">
        <v>653</v>
      </c>
      <c r="B217" s="270" t="s">
        <v>568</v>
      </c>
      <c r="C217">
        <f t="shared" si="18"/>
        <v>64</v>
      </c>
      <c r="D217">
        <f t="shared" ca="1" si="17"/>
        <v>0</v>
      </c>
      <c r="E217">
        <f t="shared" si="15"/>
        <v>1042</v>
      </c>
      <c r="F217" t="s">
        <v>722</v>
      </c>
    </row>
    <row r="218" spans="1:6" ht="15.6" x14ac:dyDescent="0.3">
      <c r="A218" s="270" t="s">
        <v>653</v>
      </c>
      <c r="B218" s="270" t="s">
        <v>698</v>
      </c>
      <c r="C218">
        <f t="shared" si="18"/>
        <v>79</v>
      </c>
      <c r="D218">
        <f t="shared" ca="1" si="17"/>
        <v>0</v>
      </c>
      <c r="E218">
        <f t="shared" si="15"/>
        <v>1017</v>
      </c>
      <c r="F218" t="s">
        <v>722</v>
      </c>
    </row>
    <row r="219" spans="1:6" ht="15.6" x14ac:dyDescent="0.3">
      <c r="A219" s="270" t="s">
        <v>660</v>
      </c>
      <c r="B219" s="270" t="s">
        <v>678</v>
      </c>
      <c r="C219">
        <f t="shared" ref="C219:C240" si="19">C196+5</f>
        <v>79</v>
      </c>
      <c r="D219">
        <f t="shared" ca="1" si="17"/>
        <v>0</v>
      </c>
      <c r="E219">
        <f t="shared" si="15"/>
        <v>992</v>
      </c>
      <c r="F219" t="s">
        <v>722</v>
      </c>
    </row>
    <row r="220" spans="1:6" ht="15.6" x14ac:dyDescent="0.3">
      <c r="A220" s="270" t="s">
        <v>625</v>
      </c>
      <c r="B220" s="270" t="s">
        <v>713</v>
      </c>
      <c r="C220">
        <f t="shared" si="19"/>
        <v>65</v>
      </c>
      <c r="D220">
        <f t="shared" ca="1" si="17"/>
        <v>0</v>
      </c>
      <c r="E220">
        <f t="shared" si="15"/>
        <v>967</v>
      </c>
      <c r="F220" t="s">
        <v>722</v>
      </c>
    </row>
    <row r="221" spans="1:6" ht="15.6" x14ac:dyDescent="0.3">
      <c r="A221" s="270" t="s">
        <v>628</v>
      </c>
      <c r="B221" s="270" t="s">
        <v>674</v>
      </c>
      <c r="C221">
        <f t="shared" si="19"/>
        <v>71</v>
      </c>
      <c r="D221">
        <f t="shared" ca="1" si="17"/>
        <v>1</v>
      </c>
      <c r="E221">
        <f t="shared" si="15"/>
        <v>942</v>
      </c>
      <c r="F221" t="s">
        <v>722</v>
      </c>
    </row>
    <row r="222" spans="1:6" ht="15.6" x14ac:dyDescent="0.3">
      <c r="A222" s="270" t="s">
        <v>649</v>
      </c>
      <c r="B222" s="270" t="s">
        <v>671</v>
      </c>
      <c r="C222">
        <f t="shared" si="19"/>
        <v>69</v>
      </c>
      <c r="D222">
        <f t="shared" ca="1" si="17"/>
        <v>0</v>
      </c>
      <c r="E222">
        <f t="shared" si="15"/>
        <v>917</v>
      </c>
      <c r="F222" t="s">
        <v>722</v>
      </c>
    </row>
    <row r="223" spans="1:6" ht="15.6" x14ac:dyDescent="0.3">
      <c r="A223" s="270" t="s">
        <v>663</v>
      </c>
      <c r="B223" s="270" t="s">
        <v>708</v>
      </c>
      <c r="C223">
        <f t="shared" si="19"/>
        <v>80</v>
      </c>
      <c r="D223">
        <f t="shared" ca="1" si="17"/>
        <v>1</v>
      </c>
      <c r="E223">
        <f t="shared" si="15"/>
        <v>892</v>
      </c>
      <c r="F223" t="s">
        <v>722</v>
      </c>
    </row>
    <row r="224" spans="1:6" ht="15.6" x14ac:dyDescent="0.3">
      <c r="A224" s="270" t="s">
        <v>643</v>
      </c>
      <c r="B224" s="270" t="s">
        <v>568</v>
      </c>
      <c r="C224">
        <f t="shared" si="19"/>
        <v>78</v>
      </c>
      <c r="D224">
        <f t="shared" ca="1" si="17"/>
        <v>0</v>
      </c>
      <c r="E224">
        <f t="shared" si="15"/>
        <v>867</v>
      </c>
      <c r="F224" t="s">
        <v>722</v>
      </c>
    </row>
    <row r="225" spans="1:6" ht="15.6" x14ac:dyDescent="0.3">
      <c r="A225" s="270" t="s">
        <v>660</v>
      </c>
      <c r="B225" s="270" t="s">
        <v>706</v>
      </c>
      <c r="C225">
        <f t="shared" si="19"/>
        <v>71</v>
      </c>
      <c r="D225">
        <f t="shared" ca="1" si="17"/>
        <v>0</v>
      </c>
      <c r="E225">
        <f t="shared" si="15"/>
        <v>842</v>
      </c>
      <c r="F225" t="s">
        <v>722</v>
      </c>
    </row>
    <row r="226" spans="1:6" ht="15.6" x14ac:dyDescent="0.3">
      <c r="A226" s="270" t="s">
        <v>632</v>
      </c>
      <c r="B226" s="270" t="s">
        <v>710</v>
      </c>
      <c r="C226">
        <f t="shared" si="19"/>
        <v>61</v>
      </c>
      <c r="D226">
        <f t="shared" ca="1" si="17"/>
        <v>0</v>
      </c>
      <c r="E226">
        <f t="shared" si="15"/>
        <v>817</v>
      </c>
      <c r="F226" t="s">
        <v>722</v>
      </c>
    </row>
    <row r="227" spans="1:6" ht="15.6" x14ac:dyDescent="0.3">
      <c r="A227" s="270" t="s">
        <v>665</v>
      </c>
      <c r="B227" s="270" t="s">
        <v>671</v>
      </c>
      <c r="C227">
        <f t="shared" si="19"/>
        <v>64</v>
      </c>
      <c r="D227">
        <f t="shared" ca="1" si="17"/>
        <v>0</v>
      </c>
      <c r="E227">
        <f t="shared" si="15"/>
        <v>792</v>
      </c>
      <c r="F227" t="s">
        <v>722</v>
      </c>
    </row>
    <row r="228" spans="1:6" ht="15.6" x14ac:dyDescent="0.3">
      <c r="A228" s="270" t="s">
        <v>625</v>
      </c>
      <c r="B228" s="270" t="s">
        <v>715</v>
      </c>
      <c r="C228">
        <f t="shared" si="19"/>
        <v>66</v>
      </c>
      <c r="D228">
        <f t="shared" ca="1" si="17"/>
        <v>0</v>
      </c>
      <c r="E228">
        <f t="shared" si="15"/>
        <v>767</v>
      </c>
      <c r="F228" t="s">
        <v>722</v>
      </c>
    </row>
    <row r="229" spans="1:6" ht="15.6" x14ac:dyDescent="0.3">
      <c r="A229" s="270" t="s">
        <v>650</v>
      </c>
      <c r="B229" s="270" t="s">
        <v>696</v>
      </c>
      <c r="C229">
        <f t="shared" si="19"/>
        <v>62</v>
      </c>
      <c r="D229">
        <f t="shared" ca="1" si="17"/>
        <v>0</v>
      </c>
      <c r="E229">
        <f t="shared" si="15"/>
        <v>742</v>
      </c>
      <c r="F229" t="s">
        <v>722</v>
      </c>
    </row>
    <row r="230" spans="1:6" ht="15.6" x14ac:dyDescent="0.3">
      <c r="A230" s="270" t="s">
        <v>647</v>
      </c>
      <c r="B230" s="270" t="s">
        <v>704</v>
      </c>
      <c r="C230">
        <f t="shared" si="19"/>
        <v>65</v>
      </c>
      <c r="D230">
        <f t="shared" ca="1" si="17"/>
        <v>0</v>
      </c>
      <c r="E230">
        <f t="shared" si="15"/>
        <v>717</v>
      </c>
      <c r="F230" t="s">
        <v>722</v>
      </c>
    </row>
    <row r="231" spans="1:6" ht="15.6" x14ac:dyDescent="0.3">
      <c r="A231" s="270" t="s">
        <v>661</v>
      </c>
      <c r="B231" s="270" t="s">
        <v>699</v>
      </c>
      <c r="C231">
        <f t="shared" si="19"/>
        <v>63</v>
      </c>
      <c r="D231">
        <f t="shared" ca="1" si="17"/>
        <v>1</v>
      </c>
      <c r="E231">
        <f t="shared" si="15"/>
        <v>692</v>
      </c>
      <c r="F231" t="s">
        <v>722</v>
      </c>
    </row>
    <row r="232" spans="1:6" ht="15.6" x14ac:dyDescent="0.3">
      <c r="A232" s="270" t="s">
        <v>618</v>
      </c>
      <c r="B232" s="270" t="s">
        <v>689</v>
      </c>
      <c r="C232">
        <f t="shared" si="19"/>
        <v>66</v>
      </c>
      <c r="D232">
        <f t="shared" ca="1" si="17"/>
        <v>1</v>
      </c>
      <c r="E232">
        <f t="shared" si="15"/>
        <v>667</v>
      </c>
      <c r="F232" t="s">
        <v>722</v>
      </c>
    </row>
    <row r="233" spans="1:6" ht="15.6" x14ac:dyDescent="0.3">
      <c r="A233" s="270" t="s">
        <v>634</v>
      </c>
      <c r="B233" s="270" t="s">
        <v>714</v>
      </c>
      <c r="C233">
        <f t="shared" si="19"/>
        <v>68</v>
      </c>
      <c r="D233">
        <f t="shared" ca="1" si="17"/>
        <v>1</v>
      </c>
      <c r="E233">
        <f t="shared" si="15"/>
        <v>642</v>
      </c>
      <c r="F233" t="s">
        <v>722</v>
      </c>
    </row>
    <row r="234" spans="1:6" ht="15.6" x14ac:dyDescent="0.3">
      <c r="A234" s="270" t="s">
        <v>631</v>
      </c>
      <c r="B234" s="270" t="s">
        <v>692</v>
      </c>
      <c r="C234">
        <f t="shared" si="19"/>
        <v>79</v>
      </c>
      <c r="D234">
        <f t="shared" ca="1" si="17"/>
        <v>0</v>
      </c>
      <c r="E234">
        <f t="shared" si="15"/>
        <v>617</v>
      </c>
      <c r="F234" t="s">
        <v>722</v>
      </c>
    </row>
    <row r="235" spans="1:6" ht="15.6" x14ac:dyDescent="0.3">
      <c r="A235" s="270" t="s">
        <v>618</v>
      </c>
      <c r="B235" s="270" t="s">
        <v>690</v>
      </c>
      <c r="C235">
        <f t="shared" si="19"/>
        <v>67</v>
      </c>
      <c r="D235">
        <f t="shared" ca="1" si="17"/>
        <v>1</v>
      </c>
      <c r="E235">
        <f t="shared" si="15"/>
        <v>592</v>
      </c>
      <c r="F235" t="s">
        <v>722</v>
      </c>
    </row>
    <row r="236" spans="1:6" ht="15.6" x14ac:dyDescent="0.3">
      <c r="A236" s="270" t="s">
        <v>650</v>
      </c>
      <c r="B236" s="270" t="s">
        <v>683</v>
      </c>
      <c r="C236">
        <f t="shared" si="19"/>
        <v>82</v>
      </c>
      <c r="D236">
        <f t="shared" ca="1" si="17"/>
        <v>0</v>
      </c>
      <c r="E236">
        <f t="shared" si="15"/>
        <v>567</v>
      </c>
      <c r="F236" t="s">
        <v>722</v>
      </c>
    </row>
    <row r="237" spans="1:6" ht="15.6" x14ac:dyDescent="0.3">
      <c r="A237" s="270" t="s">
        <v>617</v>
      </c>
      <c r="B237" s="270" t="s">
        <v>681</v>
      </c>
      <c r="C237">
        <f t="shared" si="19"/>
        <v>68</v>
      </c>
      <c r="D237">
        <f t="shared" ca="1" si="17"/>
        <v>1</v>
      </c>
      <c r="E237">
        <f t="shared" si="15"/>
        <v>542</v>
      </c>
      <c r="F237" t="s">
        <v>722</v>
      </c>
    </row>
    <row r="238" spans="1:6" ht="15.6" x14ac:dyDescent="0.3">
      <c r="A238" s="270" t="s">
        <v>659</v>
      </c>
      <c r="B238" s="270" t="s">
        <v>669</v>
      </c>
      <c r="C238">
        <f t="shared" si="19"/>
        <v>70</v>
      </c>
      <c r="D238">
        <f t="shared" ca="1" si="17"/>
        <v>1</v>
      </c>
      <c r="E238">
        <f t="shared" si="15"/>
        <v>517</v>
      </c>
      <c r="F238" t="s">
        <v>722</v>
      </c>
    </row>
    <row r="239" spans="1:6" ht="15.6" x14ac:dyDescent="0.3">
      <c r="A239" s="270" t="s">
        <v>626</v>
      </c>
      <c r="B239" s="270" t="s">
        <v>700</v>
      </c>
      <c r="C239">
        <f t="shared" si="19"/>
        <v>81</v>
      </c>
      <c r="D239">
        <f t="shared" ca="1" si="17"/>
        <v>1</v>
      </c>
      <c r="E239">
        <f t="shared" si="15"/>
        <v>492</v>
      </c>
      <c r="F239" t="s">
        <v>722</v>
      </c>
    </row>
    <row r="240" spans="1:6" ht="15.6" x14ac:dyDescent="0.3">
      <c r="A240" s="270" t="s">
        <v>618</v>
      </c>
      <c r="B240" s="270" t="s">
        <v>686</v>
      </c>
      <c r="C240">
        <f t="shared" si="19"/>
        <v>69</v>
      </c>
      <c r="D240">
        <f t="shared" ca="1" si="17"/>
        <v>0</v>
      </c>
      <c r="E240">
        <f t="shared" si="15"/>
        <v>467</v>
      </c>
      <c r="F240" t="s">
        <v>722</v>
      </c>
    </row>
    <row r="241" spans="1:6" ht="15.6" x14ac:dyDescent="0.3">
      <c r="A241" s="270" t="s">
        <v>625</v>
      </c>
      <c r="B241" s="270" t="s">
        <v>694</v>
      </c>
      <c r="C241">
        <f t="shared" ref="C241:C250" si="20">C219+5</f>
        <v>84</v>
      </c>
      <c r="D241">
        <f t="shared" ca="1" si="17"/>
        <v>1</v>
      </c>
      <c r="E241">
        <f t="shared" si="15"/>
        <v>442</v>
      </c>
      <c r="F241" t="s">
        <v>722</v>
      </c>
    </row>
    <row r="242" spans="1:6" ht="15.6" x14ac:dyDescent="0.3">
      <c r="A242" s="270" t="s">
        <v>648</v>
      </c>
      <c r="B242" s="270" t="s">
        <v>680</v>
      </c>
      <c r="C242">
        <f t="shared" si="20"/>
        <v>70</v>
      </c>
      <c r="D242">
        <f t="shared" ca="1" si="17"/>
        <v>1</v>
      </c>
      <c r="E242">
        <f t="shared" si="15"/>
        <v>417</v>
      </c>
      <c r="F242" t="s">
        <v>722</v>
      </c>
    </row>
    <row r="243" spans="1:6" ht="15.6" x14ac:dyDescent="0.3">
      <c r="A243" s="270" t="s">
        <v>650</v>
      </c>
      <c r="B243" s="270" t="s">
        <v>707</v>
      </c>
      <c r="C243">
        <f t="shared" si="20"/>
        <v>76</v>
      </c>
      <c r="D243">
        <f t="shared" ca="1" si="17"/>
        <v>1</v>
      </c>
      <c r="E243">
        <f t="shared" si="15"/>
        <v>392</v>
      </c>
      <c r="F243" t="s">
        <v>722</v>
      </c>
    </row>
    <row r="244" spans="1:6" ht="15.6" x14ac:dyDescent="0.3">
      <c r="A244" s="270" t="s">
        <v>665</v>
      </c>
      <c r="B244" s="270" t="s">
        <v>692</v>
      </c>
      <c r="C244">
        <f t="shared" si="20"/>
        <v>74</v>
      </c>
      <c r="D244">
        <f t="shared" ca="1" si="17"/>
        <v>0</v>
      </c>
      <c r="E244">
        <f t="shared" si="15"/>
        <v>367</v>
      </c>
      <c r="F244" t="s">
        <v>722</v>
      </c>
    </row>
    <row r="245" spans="1:6" ht="15.6" x14ac:dyDescent="0.3">
      <c r="A245" s="270" t="s">
        <v>666</v>
      </c>
      <c r="B245" s="270" t="s">
        <v>682</v>
      </c>
      <c r="C245">
        <f t="shared" si="20"/>
        <v>85</v>
      </c>
      <c r="D245">
        <f t="shared" ca="1" si="17"/>
        <v>1</v>
      </c>
      <c r="E245">
        <f t="shared" si="15"/>
        <v>342</v>
      </c>
      <c r="F245" t="s">
        <v>722</v>
      </c>
    </row>
    <row r="246" spans="1:6" ht="15.6" x14ac:dyDescent="0.3">
      <c r="A246" s="270" t="s">
        <v>653</v>
      </c>
      <c r="B246" s="270" t="s">
        <v>675</v>
      </c>
      <c r="C246">
        <f t="shared" si="20"/>
        <v>83</v>
      </c>
      <c r="D246">
        <f t="shared" ca="1" si="17"/>
        <v>1</v>
      </c>
      <c r="E246">
        <f t="shared" si="15"/>
        <v>317</v>
      </c>
      <c r="F246" t="s">
        <v>722</v>
      </c>
    </row>
    <row r="247" spans="1:6" ht="15.6" x14ac:dyDescent="0.3">
      <c r="A247" s="270" t="s">
        <v>624</v>
      </c>
      <c r="B247" s="270" t="s">
        <v>704</v>
      </c>
      <c r="C247">
        <f t="shared" si="20"/>
        <v>76</v>
      </c>
      <c r="D247">
        <f t="shared" ca="1" si="17"/>
        <v>0</v>
      </c>
      <c r="E247">
        <f>E246+47</f>
        <v>364</v>
      </c>
      <c r="F247" t="s">
        <v>722</v>
      </c>
    </row>
    <row r="248" spans="1:6" ht="15.6" x14ac:dyDescent="0.3">
      <c r="A248" s="270" t="s">
        <v>657</v>
      </c>
      <c r="B248" s="270" t="s">
        <v>677</v>
      </c>
      <c r="C248">
        <f t="shared" si="20"/>
        <v>66</v>
      </c>
      <c r="D248">
        <f t="shared" ca="1" si="17"/>
        <v>0</v>
      </c>
      <c r="E248">
        <f t="shared" ref="E248:E268" si="21">E247+47</f>
        <v>411</v>
      </c>
      <c r="F248" t="s">
        <v>722</v>
      </c>
    </row>
    <row r="249" spans="1:6" ht="15.6" x14ac:dyDescent="0.3">
      <c r="A249" s="270" t="s">
        <v>653</v>
      </c>
      <c r="B249" s="270" t="s">
        <v>678</v>
      </c>
      <c r="C249">
        <f t="shared" si="20"/>
        <v>69</v>
      </c>
      <c r="D249">
        <f t="shared" ca="1" si="17"/>
        <v>1</v>
      </c>
      <c r="E249">
        <f t="shared" si="21"/>
        <v>458</v>
      </c>
      <c r="F249" t="s">
        <v>722</v>
      </c>
    </row>
    <row r="250" spans="1:6" ht="15.6" x14ac:dyDescent="0.3">
      <c r="A250" s="270" t="s">
        <v>617</v>
      </c>
      <c r="B250" s="270" t="s">
        <v>681</v>
      </c>
      <c r="C250">
        <f t="shared" si="20"/>
        <v>71</v>
      </c>
      <c r="D250">
        <f t="shared" ca="1" si="17"/>
        <v>0</v>
      </c>
      <c r="E250">
        <f t="shared" si="21"/>
        <v>505</v>
      </c>
      <c r="F250" t="s">
        <v>722</v>
      </c>
    </row>
    <row r="251" spans="1:6" ht="15.6" x14ac:dyDescent="0.3">
      <c r="A251" s="270" t="s">
        <v>664</v>
      </c>
      <c r="B251" s="270" t="s">
        <v>709</v>
      </c>
      <c r="C251">
        <f t="shared" ref="C251:C272" si="22">C228+5</f>
        <v>71</v>
      </c>
      <c r="D251">
        <f t="shared" ca="1" si="17"/>
        <v>0</v>
      </c>
      <c r="E251">
        <f t="shared" si="21"/>
        <v>552</v>
      </c>
      <c r="F251" t="s">
        <v>722</v>
      </c>
    </row>
    <row r="252" spans="1:6" ht="15.6" x14ac:dyDescent="0.3">
      <c r="A252" s="270" t="s">
        <v>654</v>
      </c>
      <c r="B252" s="270" t="s">
        <v>701</v>
      </c>
      <c r="C252">
        <f t="shared" si="22"/>
        <v>67</v>
      </c>
      <c r="D252">
        <f t="shared" ca="1" si="17"/>
        <v>1</v>
      </c>
      <c r="E252">
        <f t="shared" si="21"/>
        <v>599</v>
      </c>
      <c r="F252" t="s">
        <v>722</v>
      </c>
    </row>
    <row r="253" spans="1:6" ht="15.6" x14ac:dyDescent="0.3">
      <c r="A253" s="270" t="s">
        <v>658</v>
      </c>
      <c r="B253" s="270" t="s">
        <v>712</v>
      </c>
      <c r="C253">
        <f t="shared" si="22"/>
        <v>70</v>
      </c>
      <c r="D253">
        <f t="shared" ca="1" si="17"/>
        <v>1</v>
      </c>
      <c r="E253">
        <f t="shared" si="21"/>
        <v>646</v>
      </c>
      <c r="F253" t="s">
        <v>722</v>
      </c>
    </row>
    <row r="254" spans="1:6" ht="15.6" x14ac:dyDescent="0.3">
      <c r="A254" s="270" t="s">
        <v>647</v>
      </c>
      <c r="B254" s="270" t="s">
        <v>701</v>
      </c>
      <c r="C254">
        <f t="shared" si="22"/>
        <v>68</v>
      </c>
      <c r="D254">
        <f t="shared" ca="1" si="17"/>
        <v>0</v>
      </c>
      <c r="E254">
        <f t="shared" si="21"/>
        <v>693</v>
      </c>
      <c r="F254" t="s">
        <v>722</v>
      </c>
    </row>
    <row r="255" spans="1:6" ht="15.6" x14ac:dyDescent="0.3">
      <c r="A255" s="270" t="s">
        <v>632</v>
      </c>
      <c r="B255" s="270" t="s">
        <v>667</v>
      </c>
      <c r="C255">
        <f t="shared" si="22"/>
        <v>71</v>
      </c>
      <c r="D255">
        <f t="shared" ca="1" si="17"/>
        <v>0</v>
      </c>
      <c r="E255">
        <f t="shared" si="21"/>
        <v>740</v>
      </c>
      <c r="F255" t="s">
        <v>722</v>
      </c>
    </row>
    <row r="256" spans="1:6" ht="15.6" x14ac:dyDescent="0.3">
      <c r="A256" s="270" t="s">
        <v>646</v>
      </c>
      <c r="B256" s="270" t="s">
        <v>690</v>
      </c>
      <c r="C256">
        <f t="shared" si="22"/>
        <v>73</v>
      </c>
      <c r="D256">
        <f t="shared" ca="1" si="17"/>
        <v>0</v>
      </c>
      <c r="E256">
        <f t="shared" si="21"/>
        <v>787</v>
      </c>
      <c r="F256" t="s">
        <v>722</v>
      </c>
    </row>
    <row r="257" spans="1:6" ht="15.6" x14ac:dyDescent="0.3">
      <c r="A257" s="270" t="s">
        <v>660</v>
      </c>
      <c r="B257" s="270" t="s">
        <v>701</v>
      </c>
      <c r="C257">
        <f t="shared" si="22"/>
        <v>84</v>
      </c>
      <c r="D257">
        <f t="shared" ca="1" si="17"/>
        <v>1</v>
      </c>
      <c r="E257">
        <f t="shared" si="21"/>
        <v>834</v>
      </c>
      <c r="F257" t="s">
        <v>722</v>
      </c>
    </row>
    <row r="258" spans="1:6" ht="15.6" x14ac:dyDescent="0.3">
      <c r="A258" s="270" t="s">
        <v>653</v>
      </c>
      <c r="B258" s="270" t="s">
        <v>676</v>
      </c>
      <c r="C258">
        <f t="shared" si="22"/>
        <v>72</v>
      </c>
      <c r="D258">
        <f t="shared" ca="1" si="17"/>
        <v>1</v>
      </c>
      <c r="E258">
        <f t="shared" si="21"/>
        <v>881</v>
      </c>
      <c r="F258" t="s">
        <v>722</v>
      </c>
    </row>
    <row r="259" spans="1:6" ht="15.6" x14ac:dyDescent="0.3">
      <c r="A259" s="270" t="s">
        <v>662</v>
      </c>
      <c r="B259" s="270" t="s">
        <v>689</v>
      </c>
      <c r="C259">
        <f t="shared" si="22"/>
        <v>87</v>
      </c>
      <c r="D259">
        <f t="shared" ref="D259:D322" ca="1" si="23">RANDBETWEEN(0,1)</f>
        <v>0</v>
      </c>
      <c r="E259">
        <f t="shared" si="21"/>
        <v>928</v>
      </c>
      <c r="F259" t="s">
        <v>722</v>
      </c>
    </row>
    <row r="260" spans="1:6" ht="15.6" x14ac:dyDescent="0.3">
      <c r="A260" s="270" t="s">
        <v>634</v>
      </c>
      <c r="B260" s="270" t="s">
        <v>707</v>
      </c>
      <c r="C260">
        <f t="shared" si="22"/>
        <v>73</v>
      </c>
      <c r="D260">
        <f t="shared" ca="1" si="23"/>
        <v>1</v>
      </c>
      <c r="E260">
        <f t="shared" si="21"/>
        <v>975</v>
      </c>
      <c r="F260" t="s">
        <v>722</v>
      </c>
    </row>
    <row r="261" spans="1:6" ht="15.6" x14ac:dyDescent="0.3">
      <c r="A261" s="270" t="s">
        <v>625</v>
      </c>
      <c r="B261" s="270" t="s">
        <v>676</v>
      </c>
      <c r="C261">
        <f t="shared" si="22"/>
        <v>75</v>
      </c>
      <c r="D261">
        <f t="shared" ca="1" si="23"/>
        <v>1</v>
      </c>
      <c r="E261">
        <f t="shared" si="21"/>
        <v>1022</v>
      </c>
      <c r="F261" t="s">
        <v>722</v>
      </c>
    </row>
    <row r="262" spans="1:6" ht="15.6" x14ac:dyDescent="0.3">
      <c r="A262" s="270" t="s">
        <v>632</v>
      </c>
      <c r="B262" s="270" t="s">
        <v>680</v>
      </c>
      <c r="C262">
        <f t="shared" si="22"/>
        <v>86</v>
      </c>
      <c r="D262">
        <f t="shared" ca="1" si="23"/>
        <v>0</v>
      </c>
      <c r="E262">
        <f t="shared" si="21"/>
        <v>1069</v>
      </c>
      <c r="F262" t="s">
        <v>722</v>
      </c>
    </row>
    <row r="263" spans="1:6" ht="15.6" x14ac:dyDescent="0.3">
      <c r="A263" s="270" t="s">
        <v>663</v>
      </c>
      <c r="B263" s="270" t="s">
        <v>704</v>
      </c>
      <c r="C263">
        <f t="shared" si="22"/>
        <v>74</v>
      </c>
      <c r="D263">
        <f t="shared" ca="1" si="23"/>
        <v>1</v>
      </c>
      <c r="E263">
        <f t="shared" si="21"/>
        <v>1116</v>
      </c>
      <c r="F263" t="s">
        <v>722</v>
      </c>
    </row>
    <row r="264" spans="1:6" ht="15.6" x14ac:dyDescent="0.3">
      <c r="A264" s="270" t="s">
        <v>628</v>
      </c>
      <c r="B264" s="270" t="s">
        <v>676</v>
      </c>
      <c r="C264">
        <f t="shared" si="22"/>
        <v>89</v>
      </c>
      <c r="D264">
        <f t="shared" ca="1" si="23"/>
        <v>1</v>
      </c>
      <c r="E264">
        <f t="shared" si="21"/>
        <v>1163</v>
      </c>
      <c r="F264" t="s">
        <v>722</v>
      </c>
    </row>
    <row r="265" spans="1:6" ht="15.6" x14ac:dyDescent="0.3">
      <c r="A265" s="270" t="s">
        <v>664</v>
      </c>
      <c r="B265" s="270" t="s">
        <v>710</v>
      </c>
      <c r="C265">
        <f t="shared" si="22"/>
        <v>75</v>
      </c>
      <c r="D265">
        <f t="shared" ca="1" si="23"/>
        <v>1</v>
      </c>
      <c r="E265">
        <f t="shared" si="21"/>
        <v>1210</v>
      </c>
      <c r="F265" t="s">
        <v>722</v>
      </c>
    </row>
    <row r="266" spans="1:6" ht="15.6" x14ac:dyDescent="0.3">
      <c r="A266" s="270" t="s">
        <v>627</v>
      </c>
      <c r="B266" s="270" t="s">
        <v>698</v>
      </c>
      <c r="C266">
        <f t="shared" si="22"/>
        <v>81</v>
      </c>
      <c r="D266">
        <f t="shared" ca="1" si="23"/>
        <v>0</v>
      </c>
      <c r="E266">
        <f t="shared" si="21"/>
        <v>1257</v>
      </c>
      <c r="F266" t="s">
        <v>722</v>
      </c>
    </row>
    <row r="267" spans="1:6" ht="15.6" x14ac:dyDescent="0.3">
      <c r="A267" s="270" t="s">
        <v>666</v>
      </c>
      <c r="B267" s="270" t="s">
        <v>704</v>
      </c>
      <c r="C267">
        <f t="shared" si="22"/>
        <v>79</v>
      </c>
      <c r="D267">
        <f t="shared" ca="1" si="23"/>
        <v>0</v>
      </c>
      <c r="E267">
        <f t="shared" si="21"/>
        <v>1304</v>
      </c>
      <c r="F267" t="s">
        <v>722</v>
      </c>
    </row>
    <row r="268" spans="1:6" ht="15.6" x14ac:dyDescent="0.3">
      <c r="A268" s="270" t="s">
        <v>635</v>
      </c>
      <c r="B268" s="270" t="s">
        <v>672</v>
      </c>
      <c r="C268">
        <f t="shared" si="22"/>
        <v>90</v>
      </c>
      <c r="D268">
        <f t="shared" ca="1" si="23"/>
        <v>1</v>
      </c>
      <c r="E268">
        <f t="shared" si="21"/>
        <v>1351</v>
      </c>
      <c r="F268" t="s">
        <v>722</v>
      </c>
    </row>
    <row r="269" spans="1:6" ht="15.6" x14ac:dyDescent="0.3">
      <c r="A269" s="270" t="s">
        <v>639</v>
      </c>
      <c r="B269" s="270" t="s">
        <v>668</v>
      </c>
      <c r="C269">
        <f t="shared" si="22"/>
        <v>88</v>
      </c>
      <c r="D269">
        <f t="shared" ca="1" si="23"/>
        <v>0</v>
      </c>
      <c r="E269">
        <f t="shared" ref="E269:E287" si="24">E268-25</f>
        <v>1326</v>
      </c>
      <c r="F269" t="s">
        <v>722</v>
      </c>
    </row>
    <row r="270" spans="1:6" ht="15.6" x14ac:dyDescent="0.3">
      <c r="A270" s="270" t="s">
        <v>622</v>
      </c>
      <c r="B270" s="270" t="s">
        <v>568</v>
      </c>
      <c r="C270">
        <f t="shared" si="22"/>
        <v>81</v>
      </c>
      <c r="D270">
        <f t="shared" ca="1" si="23"/>
        <v>1</v>
      </c>
      <c r="E270">
        <f t="shared" si="24"/>
        <v>1301</v>
      </c>
      <c r="F270" t="s">
        <v>722</v>
      </c>
    </row>
    <row r="271" spans="1:6" ht="15.6" x14ac:dyDescent="0.3">
      <c r="A271" s="270" t="s">
        <v>625</v>
      </c>
      <c r="B271" s="270" t="s">
        <v>700</v>
      </c>
      <c r="C271">
        <f t="shared" si="22"/>
        <v>71</v>
      </c>
      <c r="D271">
        <f t="shared" ca="1" si="23"/>
        <v>1</v>
      </c>
      <c r="E271">
        <f t="shared" si="24"/>
        <v>1276</v>
      </c>
      <c r="F271" t="s">
        <v>722</v>
      </c>
    </row>
    <row r="272" spans="1:6" ht="15.6" x14ac:dyDescent="0.3">
      <c r="A272" s="270" t="s">
        <v>634</v>
      </c>
      <c r="B272" s="270" t="s">
        <v>669</v>
      </c>
      <c r="C272">
        <f t="shared" si="22"/>
        <v>74</v>
      </c>
      <c r="D272">
        <f t="shared" ca="1" si="23"/>
        <v>1</v>
      </c>
      <c r="E272">
        <f t="shared" si="24"/>
        <v>1251</v>
      </c>
      <c r="F272" t="s">
        <v>722</v>
      </c>
    </row>
    <row r="273" spans="1:6" ht="15.6" x14ac:dyDescent="0.3">
      <c r="A273" s="270" t="s">
        <v>634</v>
      </c>
      <c r="B273" s="270" t="s">
        <v>711</v>
      </c>
      <c r="C273">
        <f t="shared" ref="C273:C282" si="25">C251+5</f>
        <v>76</v>
      </c>
      <c r="D273">
        <f t="shared" ca="1" si="23"/>
        <v>1</v>
      </c>
      <c r="E273">
        <f t="shared" si="24"/>
        <v>1226</v>
      </c>
      <c r="F273" t="s">
        <v>722</v>
      </c>
    </row>
    <row r="274" spans="1:6" ht="15.6" x14ac:dyDescent="0.3">
      <c r="A274" s="270" t="s">
        <v>647</v>
      </c>
      <c r="B274" s="270" t="s">
        <v>705</v>
      </c>
      <c r="C274">
        <f t="shared" si="25"/>
        <v>72</v>
      </c>
      <c r="D274">
        <f t="shared" ca="1" si="23"/>
        <v>1</v>
      </c>
      <c r="E274">
        <f t="shared" si="24"/>
        <v>1201</v>
      </c>
      <c r="F274" t="s">
        <v>722</v>
      </c>
    </row>
    <row r="275" spans="1:6" ht="15.6" x14ac:dyDescent="0.3">
      <c r="A275" s="270" t="s">
        <v>659</v>
      </c>
      <c r="B275" s="270" t="s">
        <v>704</v>
      </c>
      <c r="C275">
        <f t="shared" si="25"/>
        <v>75</v>
      </c>
      <c r="D275">
        <f t="shared" ca="1" si="23"/>
        <v>0</v>
      </c>
      <c r="E275">
        <f t="shared" si="24"/>
        <v>1176</v>
      </c>
      <c r="F275" t="s">
        <v>722</v>
      </c>
    </row>
    <row r="276" spans="1:6" ht="15.6" x14ac:dyDescent="0.3">
      <c r="A276" s="270" t="s">
        <v>658</v>
      </c>
      <c r="B276" s="270" t="s">
        <v>695</v>
      </c>
      <c r="C276">
        <f t="shared" si="25"/>
        <v>73</v>
      </c>
      <c r="D276">
        <f t="shared" ca="1" si="23"/>
        <v>0</v>
      </c>
      <c r="E276">
        <f t="shared" si="24"/>
        <v>1151</v>
      </c>
      <c r="F276" t="s">
        <v>723</v>
      </c>
    </row>
    <row r="277" spans="1:6" ht="15.6" x14ac:dyDescent="0.3">
      <c r="A277" s="270" t="s">
        <v>640</v>
      </c>
      <c r="B277" s="270" t="s">
        <v>683</v>
      </c>
      <c r="C277">
        <f t="shared" si="25"/>
        <v>76</v>
      </c>
      <c r="D277">
        <f t="shared" ca="1" si="23"/>
        <v>0</v>
      </c>
      <c r="E277">
        <f t="shared" si="24"/>
        <v>1126</v>
      </c>
      <c r="F277" t="s">
        <v>723</v>
      </c>
    </row>
    <row r="278" spans="1:6" ht="15.6" x14ac:dyDescent="0.3">
      <c r="A278" s="270" t="s">
        <v>649</v>
      </c>
      <c r="B278" s="270" t="s">
        <v>712</v>
      </c>
      <c r="C278">
        <f t="shared" si="25"/>
        <v>78</v>
      </c>
      <c r="D278">
        <f t="shared" ca="1" si="23"/>
        <v>1</v>
      </c>
      <c r="E278">
        <f t="shared" si="24"/>
        <v>1101</v>
      </c>
      <c r="F278" t="s">
        <v>723</v>
      </c>
    </row>
    <row r="279" spans="1:6" ht="15.6" x14ac:dyDescent="0.3">
      <c r="A279" s="270" t="s">
        <v>628</v>
      </c>
      <c r="B279" s="270" t="s">
        <v>714</v>
      </c>
      <c r="C279">
        <f t="shared" si="25"/>
        <v>89</v>
      </c>
      <c r="D279">
        <f t="shared" ca="1" si="23"/>
        <v>1</v>
      </c>
      <c r="E279">
        <f t="shared" si="24"/>
        <v>1076</v>
      </c>
      <c r="F279" t="s">
        <v>723</v>
      </c>
    </row>
    <row r="280" spans="1:6" ht="15.6" x14ac:dyDescent="0.3">
      <c r="A280" s="270" t="s">
        <v>637</v>
      </c>
      <c r="B280" s="270" t="s">
        <v>706</v>
      </c>
      <c r="C280">
        <f t="shared" si="25"/>
        <v>77</v>
      </c>
      <c r="D280">
        <f t="shared" ca="1" si="23"/>
        <v>1</v>
      </c>
      <c r="E280">
        <f t="shared" si="24"/>
        <v>1051</v>
      </c>
      <c r="F280" t="s">
        <v>723</v>
      </c>
    </row>
    <row r="281" spans="1:6" ht="15.6" x14ac:dyDescent="0.3">
      <c r="A281" s="270" t="s">
        <v>628</v>
      </c>
      <c r="B281" s="270" t="s">
        <v>680</v>
      </c>
      <c r="C281">
        <f t="shared" si="25"/>
        <v>92</v>
      </c>
      <c r="D281">
        <f t="shared" ca="1" si="23"/>
        <v>1</v>
      </c>
      <c r="E281">
        <f t="shared" si="24"/>
        <v>1026</v>
      </c>
      <c r="F281" t="s">
        <v>723</v>
      </c>
    </row>
    <row r="282" spans="1:6" ht="15.6" x14ac:dyDescent="0.3">
      <c r="A282" s="270" t="s">
        <v>645</v>
      </c>
      <c r="B282" s="270" t="s">
        <v>683</v>
      </c>
      <c r="C282">
        <f t="shared" si="25"/>
        <v>78</v>
      </c>
      <c r="D282">
        <f t="shared" ca="1" si="23"/>
        <v>0</v>
      </c>
      <c r="E282">
        <f t="shared" si="24"/>
        <v>1001</v>
      </c>
      <c r="F282" t="s">
        <v>723</v>
      </c>
    </row>
    <row r="283" spans="1:6" ht="15.6" x14ac:dyDescent="0.3">
      <c r="A283" s="270" t="s">
        <v>633</v>
      </c>
      <c r="B283" s="270" t="s">
        <v>683</v>
      </c>
      <c r="C283">
        <f t="shared" ref="C283:C304" si="26">C260+5</f>
        <v>78</v>
      </c>
      <c r="D283">
        <f t="shared" ca="1" si="23"/>
        <v>1</v>
      </c>
      <c r="E283">
        <f t="shared" si="24"/>
        <v>976</v>
      </c>
      <c r="F283" t="s">
        <v>723</v>
      </c>
    </row>
    <row r="284" spans="1:6" ht="15.6" x14ac:dyDescent="0.3">
      <c r="A284" s="270" t="s">
        <v>628</v>
      </c>
      <c r="B284" s="270" t="s">
        <v>687</v>
      </c>
      <c r="C284">
        <f t="shared" si="26"/>
        <v>80</v>
      </c>
      <c r="D284">
        <f t="shared" ca="1" si="23"/>
        <v>1</v>
      </c>
      <c r="E284">
        <f t="shared" si="24"/>
        <v>951</v>
      </c>
      <c r="F284" t="s">
        <v>723</v>
      </c>
    </row>
    <row r="285" spans="1:6" ht="15.6" x14ac:dyDescent="0.3">
      <c r="A285" s="270" t="s">
        <v>634</v>
      </c>
      <c r="B285" s="270" t="s">
        <v>670</v>
      </c>
      <c r="C285">
        <f t="shared" si="26"/>
        <v>91</v>
      </c>
      <c r="D285">
        <f t="shared" ca="1" si="23"/>
        <v>0</v>
      </c>
      <c r="E285">
        <f t="shared" si="24"/>
        <v>926</v>
      </c>
      <c r="F285" t="s">
        <v>723</v>
      </c>
    </row>
    <row r="286" spans="1:6" ht="15.6" x14ac:dyDescent="0.3">
      <c r="A286" s="270" t="s">
        <v>659</v>
      </c>
      <c r="B286" s="270" t="s">
        <v>690</v>
      </c>
      <c r="C286">
        <f t="shared" si="26"/>
        <v>79</v>
      </c>
      <c r="D286">
        <f t="shared" ca="1" si="23"/>
        <v>1</v>
      </c>
      <c r="E286">
        <f t="shared" si="24"/>
        <v>901</v>
      </c>
      <c r="F286" t="s">
        <v>723</v>
      </c>
    </row>
    <row r="287" spans="1:6" ht="15.6" x14ac:dyDescent="0.3">
      <c r="A287" s="270" t="s">
        <v>618</v>
      </c>
      <c r="B287" s="270" t="s">
        <v>693</v>
      </c>
      <c r="C287">
        <f t="shared" si="26"/>
        <v>94</v>
      </c>
      <c r="D287">
        <f t="shared" ca="1" si="23"/>
        <v>1</v>
      </c>
      <c r="E287">
        <f t="shared" si="24"/>
        <v>876</v>
      </c>
      <c r="F287" t="s">
        <v>723</v>
      </c>
    </row>
    <row r="288" spans="1:6" ht="15.6" x14ac:dyDescent="0.3">
      <c r="A288" s="270" t="s">
        <v>650</v>
      </c>
      <c r="B288" s="270" t="s">
        <v>667</v>
      </c>
      <c r="C288">
        <f t="shared" si="26"/>
        <v>80</v>
      </c>
      <c r="D288">
        <f t="shared" ca="1" si="23"/>
        <v>1</v>
      </c>
      <c r="E288">
        <f>E284+17</f>
        <v>968</v>
      </c>
      <c r="F288" t="s">
        <v>723</v>
      </c>
    </row>
    <row r="289" spans="1:6" ht="15.6" x14ac:dyDescent="0.3">
      <c r="A289" s="270" t="s">
        <v>648</v>
      </c>
      <c r="B289" s="270" t="s">
        <v>668</v>
      </c>
      <c r="C289">
        <f t="shared" si="26"/>
        <v>86</v>
      </c>
      <c r="D289">
        <f t="shared" ca="1" si="23"/>
        <v>1</v>
      </c>
      <c r="E289">
        <f t="shared" ref="E289:E352" si="27">E285+17</f>
        <v>943</v>
      </c>
      <c r="F289" t="s">
        <v>723</v>
      </c>
    </row>
    <row r="290" spans="1:6" ht="15.6" x14ac:dyDescent="0.3">
      <c r="A290" s="270" t="s">
        <v>647</v>
      </c>
      <c r="B290" s="270" t="s">
        <v>678</v>
      </c>
      <c r="C290">
        <f t="shared" si="26"/>
        <v>84</v>
      </c>
      <c r="D290">
        <f t="shared" ca="1" si="23"/>
        <v>1</v>
      </c>
      <c r="E290">
        <f t="shared" si="27"/>
        <v>918</v>
      </c>
      <c r="F290" t="s">
        <v>723</v>
      </c>
    </row>
    <row r="291" spans="1:6" ht="15.6" x14ac:dyDescent="0.3">
      <c r="A291" s="270" t="s">
        <v>664</v>
      </c>
      <c r="B291" s="270" t="s">
        <v>705</v>
      </c>
      <c r="C291">
        <f t="shared" si="26"/>
        <v>95</v>
      </c>
      <c r="D291">
        <f t="shared" ca="1" si="23"/>
        <v>0</v>
      </c>
      <c r="E291">
        <f t="shared" si="27"/>
        <v>893</v>
      </c>
      <c r="F291" t="s">
        <v>723</v>
      </c>
    </row>
    <row r="292" spans="1:6" ht="15.6" x14ac:dyDescent="0.3">
      <c r="A292" s="270" t="s">
        <v>628</v>
      </c>
      <c r="B292" s="270" t="s">
        <v>703</v>
      </c>
      <c r="C292">
        <f t="shared" si="26"/>
        <v>93</v>
      </c>
      <c r="D292">
        <f t="shared" ca="1" si="23"/>
        <v>0</v>
      </c>
      <c r="E292">
        <f t="shared" si="27"/>
        <v>985</v>
      </c>
      <c r="F292" t="s">
        <v>723</v>
      </c>
    </row>
    <row r="293" spans="1:6" ht="15.6" x14ac:dyDescent="0.3">
      <c r="A293" s="270" t="s">
        <v>666</v>
      </c>
      <c r="B293" s="270" t="s">
        <v>695</v>
      </c>
      <c r="C293">
        <f t="shared" si="26"/>
        <v>86</v>
      </c>
      <c r="D293">
        <f t="shared" ca="1" si="23"/>
        <v>1</v>
      </c>
      <c r="E293">
        <f t="shared" si="27"/>
        <v>960</v>
      </c>
      <c r="F293" t="s">
        <v>723</v>
      </c>
    </row>
    <row r="294" spans="1:6" ht="15.6" x14ac:dyDescent="0.3">
      <c r="A294" s="270" t="s">
        <v>636</v>
      </c>
      <c r="B294" s="270" t="s">
        <v>679</v>
      </c>
      <c r="C294">
        <f t="shared" si="26"/>
        <v>76</v>
      </c>
      <c r="D294">
        <f t="shared" ca="1" si="23"/>
        <v>1</v>
      </c>
      <c r="E294">
        <f t="shared" si="27"/>
        <v>935</v>
      </c>
      <c r="F294" t="s">
        <v>723</v>
      </c>
    </row>
    <row r="295" spans="1:6" ht="15.6" x14ac:dyDescent="0.3">
      <c r="A295" s="270" t="s">
        <v>646</v>
      </c>
      <c r="B295" s="270" t="s">
        <v>705</v>
      </c>
      <c r="C295">
        <f t="shared" si="26"/>
        <v>79</v>
      </c>
      <c r="D295">
        <f t="shared" ca="1" si="23"/>
        <v>0</v>
      </c>
      <c r="E295">
        <f t="shared" si="27"/>
        <v>910</v>
      </c>
      <c r="F295" t="s">
        <v>723</v>
      </c>
    </row>
    <row r="296" spans="1:6" ht="15.6" x14ac:dyDescent="0.3">
      <c r="A296" s="270" t="s">
        <v>652</v>
      </c>
      <c r="B296" s="270" t="s">
        <v>689</v>
      </c>
      <c r="C296">
        <f t="shared" si="26"/>
        <v>81</v>
      </c>
      <c r="D296">
        <f t="shared" ca="1" si="23"/>
        <v>1</v>
      </c>
      <c r="E296">
        <f t="shared" si="27"/>
        <v>1002</v>
      </c>
      <c r="F296" t="s">
        <v>723</v>
      </c>
    </row>
    <row r="297" spans="1:6" ht="15.6" x14ac:dyDescent="0.3">
      <c r="A297" s="270" t="s">
        <v>620</v>
      </c>
      <c r="B297" s="270" t="s">
        <v>712</v>
      </c>
      <c r="C297">
        <f t="shared" si="26"/>
        <v>77</v>
      </c>
      <c r="D297">
        <f t="shared" ca="1" si="23"/>
        <v>1</v>
      </c>
      <c r="E297">
        <f t="shared" si="27"/>
        <v>977</v>
      </c>
      <c r="F297" t="s">
        <v>723</v>
      </c>
    </row>
    <row r="298" spans="1:6" ht="15.6" x14ac:dyDescent="0.3">
      <c r="A298" s="270" t="s">
        <v>625</v>
      </c>
      <c r="B298" s="270" t="s">
        <v>712</v>
      </c>
      <c r="C298">
        <f t="shared" si="26"/>
        <v>80</v>
      </c>
      <c r="D298">
        <f t="shared" ca="1" si="23"/>
        <v>0</v>
      </c>
      <c r="E298">
        <f t="shared" si="27"/>
        <v>952</v>
      </c>
      <c r="F298" t="s">
        <v>723</v>
      </c>
    </row>
    <row r="299" spans="1:6" ht="15.6" x14ac:dyDescent="0.3">
      <c r="A299" s="270" t="s">
        <v>625</v>
      </c>
      <c r="B299" s="270" t="s">
        <v>678</v>
      </c>
      <c r="C299">
        <f t="shared" si="26"/>
        <v>78</v>
      </c>
      <c r="D299">
        <f t="shared" ca="1" si="23"/>
        <v>0</v>
      </c>
      <c r="E299">
        <f t="shared" si="27"/>
        <v>927</v>
      </c>
      <c r="F299" t="s">
        <v>723</v>
      </c>
    </row>
    <row r="300" spans="1:6" ht="15.6" x14ac:dyDescent="0.3">
      <c r="A300" s="270" t="s">
        <v>649</v>
      </c>
      <c r="B300" s="270" t="s">
        <v>696</v>
      </c>
      <c r="C300">
        <f t="shared" si="26"/>
        <v>81</v>
      </c>
      <c r="D300">
        <f t="shared" ca="1" si="23"/>
        <v>1</v>
      </c>
      <c r="E300">
        <f t="shared" si="27"/>
        <v>1019</v>
      </c>
      <c r="F300" t="s">
        <v>723</v>
      </c>
    </row>
    <row r="301" spans="1:6" ht="15.6" x14ac:dyDescent="0.3">
      <c r="A301" s="270" t="s">
        <v>647</v>
      </c>
      <c r="B301" s="270" t="s">
        <v>671</v>
      </c>
      <c r="C301">
        <f t="shared" si="26"/>
        <v>83</v>
      </c>
      <c r="D301">
        <f t="shared" ca="1" si="23"/>
        <v>0</v>
      </c>
      <c r="E301">
        <f t="shared" si="27"/>
        <v>994</v>
      </c>
      <c r="F301" t="s">
        <v>723</v>
      </c>
    </row>
    <row r="302" spans="1:6" ht="15.6" x14ac:dyDescent="0.3">
      <c r="A302" s="270" t="s">
        <v>660</v>
      </c>
      <c r="B302" s="270" t="s">
        <v>690</v>
      </c>
      <c r="C302">
        <f t="shared" si="26"/>
        <v>94</v>
      </c>
      <c r="D302">
        <f t="shared" ca="1" si="23"/>
        <v>0</v>
      </c>
      <c r="E302">
        <f t="shared" si="27"/>
        <v>969</v>
      </c>
      <c r="F302" t="s">
        <v>723</v>
      </c>
    </row>
    <row r="303" spans="1:6" ht="15.6" x14ac:dyDescent="0.3">
      <c r="A303" s="270" t="s">
        <v>618</v>
      </c>
      <c r="B303" s="270" t="s">
        <v>679</v>
      </c>
      <c r="C303">
        <f t="shared" si="26"/>
        <v>82</v>
      </c>
      <c r="D303">
        <f t="shared" ca="1" si="23"/>
        <v>1</v>
      </c>
      <c r="E303">
        <f t="shared" si="27"/>
        <v>944</v>
      </c>
      <c r="F303" t="s">
        <v>723</v>
      </c>
    </row>
    <row r="304" spans="1:6" ht="15.6" x14ac:dyDescent="0.3">
      <c r="A304" s="270" t="s">
        <v>632</v>
      </c>
      <c r="B304" s="270" t="s">
        <v>696</v>
      </c>
      <c r="C304">
        <f t="shared" si="26"/>
        <v>97</v>
      </c>
      <c r="D304">
        <f t="shared" ca="1" si="23"/>
        <v>0</v>
      </c>
      <c r="E304">
        <f t="shared" si="27"/>
        <v>1036</v>
      </c>
      <c r="F304" t="s">
        <v>723</v>
      </c>
    </row>
    <row r="305" spans="1:6" ht="15.6" x14ac:dyDescent="0.3">
      <c r="A305" s="270" t="s">
        <v>651</v>
      </c>
      <c r="B305" s="270" t="s">
        <v>704</v>
      </c>
      <c r="C305">
        <f t="shared" ref="C305:C314" si="28">C283+5</f>
        <v>83</v>
      </c>
      <c r="D305">
        <f t="shared" ca="1" si="23"/>
        <v>1</v>
      </c>
      <c r="E305">
        <f t="shared" si="27"/>
        <v>1011</v>
      </c>
      <c r="F305" t="s">
        <v>723</v>
      </c>
    </row>
    <row r="306" spans="1:6" ht="15.6" x14ac:dyDescent="0.3">
      <c r="A306" s="270" t="s">
        <v>658</v>
      </c>
      <c r="B306" s="270" t="s">
        <v>676</v>
      </c>
      <c r="C306">
        <f t="shared" si="28"/>
        <v>85</v>
      </c>
      <c r="D306">
        <f t="shared" ca="1" si="23"/>
        <v>1</v>
      </c>
      <c r="E306">
        <f t="shared" si="27"/>
        <v>986</v>
      </c>
      <c r="F306" t="s">
        <v>723</v>
      </c>
    </row>
    <row r="307" spans="1:6" ht="15.6" x14ac:dyDescent="0.3">
      <c r="A307" s="270" t="s">
        <v>649</v>
      </c>
      <c r="B307" s="270" t="s">
        <v>670</v>
      </c>
      <c r="C307">
        <f t="shared" si="28"/>
        <v>96</v>
      </c>
      <c r="D307">
        <f t="shared" ca="1" si="23"/>
        <v>1</v>
      </c>
      <c r="E307">
        <f t="shared" si="27"/>
        <v>961</v>
      </c>
      <c r="F307" t="s">
        <v>723</v>
      </c>
    </row>
    <row r="308" spans="1:6" ht="15.6" x14ac:dyDescent="0.3">
      <c r="A308" s="270" t="s">
        <v>663</v>
      </c>
      <c r="B308" s="270" t="s">
        <v>709</v>
      </c>
      <c r="C308">
        <f t="shared" si="28"/>
        <v>84</v>
      </c>
      <c r="D308">
        <f t="shared" ca="1" si="23"/>
        <v>1</v>
      </c>
      <c r="E308">
        <f t="shared" si="27"/>
        <v>1053</v>
      </c>
      <c r="F308" t="s">
        <v>723</v>
      </c>
    </row>
    <row r="309" spans="1:6" ht="15.6" x14ac:dyDescent="0.3">
      <c r="A309" s="270" t="s">
        <v>661</v>
      </c>
      <c r="B309" s="270" t="s">
        <v>705</v>
      </c>
      <c r="C309">
        <f t="shared" si="28"/>
        <v>99</v>
      </c>
      <c r="D309">
        <f t="shared" ca="1" si="23"/>
        <v>0</v>
      </c>
      <c r="E309">
        <f t="shared" si="27"/>
        <v>1028</v>
      </c>
      <c r="F309" t="s">
        <v>723</v>
      </c>
    </row>
    <row r="310" spans="1:6" ht="15.6" x14ac:dyDescent="0.3">
      <c r="A310" s="270" t="s">
        <v>643</v>
      </c>
      <c r="B310" s="270" t="s">
        <v>673</v>
      </c>
      <c r="C310">
        <f t="shared" si="28"/>
        <v>85</v>
      </c>
      <c r="D310">
        <f t="shared" ca="1" si="23"/>
        <v>0</v>
      </c>
      <c r="E310">
        <f t="shared" si="27"/>
        <v>1003</v>
      </c>
      <c r="F310" t="s">
        <v>723</v>
      </c>
    </row>
    <row r="311" spans="1:6" ht="15.6" x14ac:dyDescent="0.3">
      <c r="A311" s="270" t="s">
        <v>649</v>
      </c>
      <c r="B311" s="270" t="s">
        <v>700</v>
      </c>
      <c r="C311">
        <f t="shared" si="28"/>
        <v>91</v>
      </c>
      <c r="D311">
        <f t="shared" ca="1" si="23"/>
        <v>1</v>
      </c>
      <c r="E311">
        <f t="shared" si="27"/>
        <v>978</v>
      </c>
      <c r="F311" t="s">
        <v>723</v>
      </c>
    </row>
    <row r="312" spans="1:6" ht="15.6" x14ac:dyDescent="0.3">
      <c r="A312" s="270" t="s">
        <v>644</v>
      </c>
      <c r="B312" s="270" t="s">
        <v>698</v>
      </c>
      <c r="C312">
        <f t="shared" si="28"/>
        <v>89</v>
      </c>
      <c r="D312">
        <f t="shared" ca="1" si="23"/>
        <v>0</v>
      </c>
      <c r="E312">
        <f t="shared" si="27"/>
        <v>1070</v>
      </c>
      <c r="F312" t="s">
        <v>723</v>
      </c>
    </row>
    <row r="313" spans="1:6" ht="15.6" x14ac:dyDescent="0.3">
      <c r="A313" s="270" t="s">
        <v>642</v>
      </c>
      <c r="B313" s="270" t="s">
        <v>689</v>
      </c>
      <c r="C313">
        <f t="shared" si="28"/>
        <v>100</v>
      </c>
      <c r="D313">
        <f t="shared" ca="1" si="23"/>
        <v>0</v>
      </c>
      <c r="E313">
        <f t="shared" si="27"/>
        <v>1045</v>
      </c>
      <c r="F313" t="s">
        <v>723</v>
      </c>
    </row>
    <row r="314" spans="1:6" ht="15.6" x14ac:dyDescent="0.3">
      <c r="A314" s="270" t="s">
        <v>662</v>
      </c>
      <c r="B314" s="270" t="s">
        <v>708</v>
      </c>
      <c r="C314">
        <f t="shared" si="28"/>
        <v>98</v>
      </c>
      <c r="D314">
        <f t="shared" ca="1" si="23"/>
        <v>0</v>
      </c>
      <c r="E314">
        <f t="shared" si="27"/>
        <v>1020</v>
      </c>
      <c r="F314" t="s">
        <v>723</v>
      </c>
    </row>
    <row r="315" spans="1:6" ht="15.6" x14ac:dyDescent="0.3">
      <c r="A315" s="270" t="s">
        <v>652</v>
      </c>
      <c r="B315" s="270" t="s">
        <v>687</v>
      </c>
      <c r="C315">
        <f t="shared" ref="C315" si="29">C292+5</f>
        <v>98</v>
      </c>
      <c r="D315">
        <f t="shared" ca="1" si="23"/>
        <v>0</v>
      </c>
      <c r="E315">
        <f t="shared" si="27"/>
        <v>995</v>
      </c>
      <c r="F315" t="s">
        <v>723</v>
      </c>
    </row>
    <row r="316" spans="1:6" ht="15.6" x14ac:dyDescent="0.3">
      <c r="A316" s="270" t="s">
        <v>658</v>
      </c>
      <c r="B316" s="270" t="s">
        <v>704</v>
      </c>
      <c r="C316">
        <f>C117+4</f>
        <v>42</v>
      </c>
      <c r="D316">
        <f t="shared" ca="1" si="23"/>
        <v>1</v>
      </c>
      <c r="E316">
        <f t="shared" si="27"/>
        <v>1087</v>
      </c>
      <c r="F316" t="s">
        <v>723</v>
      </c>
    </row>
    <row r="317" spans="1:6" ht="15.6" x14ac:dyDescent="0.3">
      <c r="A317" s="270" t="s">
        <v>627</v>
      </c>
      <c r="B317" s="270" t="s">
        <v>706</v>
      </c>
      <c r="C317">
        <f t="shared" ref="C317:C380" si="30">C118+4</f>
        <v>45</v>
      </c>
      <c r="D317">
        <f t="shared" ca="1" si="23"/>
        <v>1</v>
      </c>
      <c r="E317">
        <f t="shared" si="27"/>
        <v>1062</v>
      </c>
      <c r="F317" t="s">
        <v>723</v>
      </c>
    </row>
    <row r="318" spans="1:6" ht="15.6" x14ac:dyDescent="0.3">
      <c r="A318" s="270" t="s">
        <v>623</v>
      </c>
      <c r="B318" s="270" t="s">
        <v>703</v>
      </c>
      <c r="C318">
        <f t="shared" si="30"/>
        <v>47</v>
      </c>
      <c r="D318">
        <f t="shared" ca="1" si="23"/>
        <v>1</v>
      </c>
      <c r="E318">
        <f t="shared" si="27"/>
        <v>1037</v>
      </c>
      <c r="F318" t="s">
        <v>723</v>
      </c>
    </row>
    <row r="319" spans="1:6" ht="15.6" x14ac:dyDescent="0.3">
      <c r="A319" s="270" t="s">
        <v>620</v>
      </c>
      <c r="B319" s="270" t="s">
        <v>680</v>
      </c>
      <c r="C319">
        <f t="shared" si="30"/>
        <v>58</v>
      </c>
      <c r="D319">
        <f t="shared" ca="1" si="23"/>
        <v>0</v>
      </c>
      <c r="E319">
        <f t="shared" si="27"/>
        <v>1012</v>
      </c>
      <c r="F319" t="s">
        <v>723</v>
      </c>
    </row>
    <row r="320" spans="1:6" ht="15.6" x14ac:dyDescent="0.3">
      <c r="A320" s="270" t="s">
        <v>635</v>
      </c>
      <c r="B320" s="270" t="s">
        <v>685</v>
      </c>
      <c r="C320">
        <f t="shared" si="30"/>
        <v>46</v>
      </c>
      <c r="D320">
        <f t="shared" ca="1" si="23"/>
        <v>0</v>
      </c>
      <c r="E320">
        <f t="shared" si="27"/>
        <v>1104</v>
      </c>
      <c r="F320" t="s">
        <v>723</v>
      </c>
    </row>
    <row r="321" spans="1:6" ht="15.6" x14ac:dyDescent="0.3">
      <c r="A321" s="270" t="s">
        <v>638</v>
      </c>
      <c r="B321" s="270" t="s">
        <v>676</v>
      </c>
      <c r="C321">
        <f t="shared" si="30"/>
        <v>37</v>
      </c>
      <c r="D321">
        <f t="shared" ca="1" si="23"/>
        <v>0</v>
      </c>
      <c r="E321">
        <f t="shared" si="27"/>
        <v>1079</v>
      </c>
      <c r="F321" t="s">
        <v>723</v>
      </c>
    </row>
    <row r="322" spans="1:6" ht="15.6" x14ac:dyDescent="0.3">
      <c r="A322" s="270" t="s">
        <v>645</v>
      </c>
      <c r="B322" s="270" t="s">
        <v>667</v>
      </c>
      <c r="C322">
        <f t="shared" si="30"/>
        <v>61</v>
      </c>
      <c r="D322">
        <f t="shared" ca="1" si="23"/>
        <v>1</v>
      </c>
      <c r="E322">
        <f t="shared" si="27"/>
        <v>1054</v>
      </c>
      <c r="F322" t="s">
        <v>723</v>
      </c>
    </row>
    <row r="323" spans="1:6" ht="15.6" x14ac:dyDescent="0.3">
      <c r="A323" s="270" t="s">
        <v>647</v>
      </c>
      <c r="B323" s="270" t="s">
        <v>675</v>
      </c>
      <c r="C323">
        <f t="shared" si="30"/>
        <v>47</v>
      </c>
      <c r="D323">
        <f t="shared" ref="D323:D386" ca="1" si="31">RANDBETWEEN(0,1)</f>
        <v>0</v>
      </c>
      <c r="E323">
        <f t="shared" si="27"/>
        <v>1029</v>
      </c>
      <c r="F323" t="s">
        <v>723</v>
      </c>
    </row>
    <row r="324" spans="1:6" ht="15.6" x14ac:dyDescent="0.3">
      <c r="A324" s="270" t="s">
        <v>653</v>
      </c>
      <c r="B324" s="270" t="s">
        <v>670</v>
      </c>
      <c r="C324">
        <f t="shared" si="30"/>
        <v>49</v>
      </c>
      <c r="D324">
        <f t="shared" ca="1" si="31"/>
        <v>0</v>
      </c>
      <c r="E324">
        <f t="shared" si="27"/>
        <v>1121</v>
      </c>
      <c r="F324" t="s">
        <v>723</v>
      </c>
    </row>
    <row r="325" spans="1:6" ht="15.6" x14ac:dyDescent="0.3">
      <c r="A325" s="270" t="s">
        <v>657</v>
      </c>
      <c r="B325" s="270" t="s">
        <v>713</v>
      </c>
      <c r="C325">
        <f t="shared" si="30"/>
        <v>60</v>
      </c>
      <c r="D325">
        <f t="shared" ca="1" si="31"/>
        <v>1</v>
      </c>
      <c r="E325">
        <f t="shared" si="27"/>
        <v>1096</v>
      </c>
      <c r="F325" t="s">
        <v>723</v>
      </c>
    </row>
    <row r="326" spans="1:6" ht="15.6" x14ac:dyDescent="0.3">
      <c r="A326" s="270" t="s">
        <v>650</v>
      </c>
      <c r="B326" s="270" t="s">
        <v>679</v>
      </c>
      <c r="C326">
        <f t="shared" si="30"/>
        <v>48</v>
      </c>
      <c r="D326">
        <f t="shared" ca="1" si="31"/>
        <v>0</v>
      </c>
      <c r="E326">
        <f t="shared" si="27"/>
        <v>1071</v>
      </c>
      <c r="F326" t="s">
        <v>723</v>
      </c>
    </row>
    <row r="327" spans="1:6" ht="15.6" x14ac:dyDescent="0.3">
      <c r="A327" s="270" t="s">
        <v>632</v>
      </c>
      <c r="B327" s="270" t="s">
        <v>699</v>
      </c>
      <c r="C327">
        <f t="shared" si="30"/>
        <v>63</v>
      </c>
      <c r="D327">
        <f t="shared" ca="1" si="31"/>
        <v>1</v>
      </c>
      <c r="E327">
        <f t="shared" si="27"/>
        <v>1046</v>
      </c>
      <c r="F327" t="s">
        <v>723</v>
      </c>
    </row>
    <row r="328" spans="1:6" ht="15.6" x14ac:dyDescent="0.3">
      <c r="A328" s="270" t="s">
        <v>647</v>
      </c>
      <c r="B328" s="270" t="s">
        <v>671</v>
      </c>
      <c r="C328">
        <f t="shared" si="30"/>
        <v>49</v>
      </c>
      <c r="D328">
        <f t="shared" ca="1" si="31"/>
        <v>1</v>
      </c>
      <c r="E328">
        <f t="shared" si="27"/>
        <v>1138</v>
      </c>
      <c r="F328" t="s">
        <v>723</v>
      </c>
    </row>
    <row r="329" spans="1:6" ht="15.6" x14ac:dyDescent="0.3">
      <c r="A329" s="270" t="s">
        <v>630</v>
      </c>
      <c r="B329" s="270" t="s">
        <v>704</v>
      </c>
      <c r="C329">
        <f t="shared" si="30"/>
        <v>55</v>
      </c>
      <c r="D329">
        <f t="shared" ca="1" si="31"/>
        <v>0</v>
      </c>
      <c r="E329">
        <f t="shared" si="27"/>
        <v>1113</v>
      </c>
      <c r="F329" t="s">
        <v>723</v>
      </c>
    </row>
    <row r="330" spans="1:6" ht="15.6" x14ac:dyDescent="0.3">
      <c r="A330" s="270" t="s">
        <v>630</v>
      </c>
      <c r="B330" s="270" t="s">
        <v>712</v>
      </c>
      <c r="C330">
        <f t="shared" si="30"/>
        <v>53</v>
      </c>
      <c r="D330">
        <f t="shared" ca="1" si="31"/>
        <v>0</v>
      </c>
      <c r="E330">
        <f t="shared" si="27"/>
        <v>1088</v>
      </c>
      <c r="F330" t="s">
        <v>723</v>
      </c>
    </row>
    <row r="331" spans="1:6" ht="15.6" x14ac:dyDescent="0.3">
      <c r="A331" s="270" t="s">
        <v>627</v>
      </c>
      <c r="B331" s="270" t="s">
        <v>675</v>
      </c>
      <c r="C331">
        <f t="shared" si="30"/>
        <v>64</v>
      </c>
      <c r="D331">
        <f t="shared" ca="1" si="31"/>
        <v>0</v>
      </c>
      <c r="E331">
        <f t="shared" si="27"/>
        <v>1063</v>
      </c>
      <c r="F331" t="s">
        <v>723</v>
      </c>
    </row>
    <row r="332" spans="1:6" ht="15.6" x14ac:dyDescent="0.3">
      <c r="A332" s="270" t="s">
        <v>623</v>
      </c>
      <c r="B332" s="270" t="s">
        <v>690</v>
      </c>
      <c r="C332">
        <f t="shared" si="30"/>
        <v>62</v>
      </c>
      <c r="D332">
        <f t="shared" ca="1" si="31"/>
        <v>1</v>
      </c>
      <c r="E332">
        <f t="shared" si="27"/>
        <v>1155</v>
      </c>
      <c r="F332" t="s">
        <v>723</v>
      </c>
    </row>
    <row r="333" spans="1:6" ht="15.6" x14ac:dyDescent="0.3">
      <c r="A333" s="270" t="s">
        <v>643</v>
      </c>
      <c r="B333" s="270" t="s">
        <v>702</v>
      </c>
      <c r="C333">
        <f t="shared" si="30"/>
        <v>55</v>
      </c>
      <c r="D333">
        <f t="shared" ca="1" si="31"/>
        <v>0</v>
      </c>
      <c r="E333">
        <f t="shared" si="27"/>
        <v>1130</v>
      </c>
      <c r="F333" t="s">
        <v>723</v>
      </c>
    </row>
    <row r="334" spans="1:6" ht="15.6" x14ac:dyDescent="0.3">
      <c r="A334" s="270" t="s">
        <v>647</v>
      </c>
      <c r="B334" s="270" t="s">
        <v>702</v>
      </c>
      <c r="C334">
        <f t="shared" si="30"/>
        <v>45</v>
      </c>
      <c r="D334">
        <f t="shared" ca="1" si="31"/>
        <v>1</v>
      </c>
      <c r="E334">
        <f t="shared" si="27"/>
        <v>1105</v>
      </c>
      <c r="F334" t="s">
        <v>723</v>
      </c>
    </row>
    <row r="335" spans="1:6" ht="15.6" x14ac:dyDescent="0.3">
      <c r="A335" s="270" t="s">
        <v>645</v>
      </c>
      <c r="B335" s="270" t="s">
        <v>681</v>
      </c>
      <c r="C335">
        <f t="shared" si="30"/>
        <v>48</v>
      </c>
      <c r="D335">
        <f t="shared" ca="1" si="31"/>
        <v>0</v>
      </c>
      <c r="E335">
        <f t="shared" si="27"/>
        <v>1080</v>
      </c>
      <c r="F335" t="s">
        <v>723</v>
      </c>
    </row>
    <row r="336" spans="1:6" ht="15.6" x14ac:dyDescent="0.3">
      <c r="A336" s="270" t="s">
        <v>634</v>
      </c>
      <c r="B336" s="270" t="s">
        <v>707</v>
      </c>
      <c r="C336">
        <f t="shared" si="30"/>
        <v>50</v>
      </c>
      <c r="D336">
        <f t="shared" ca="1" si="31"/>
        <v>1</v>
      </c>
      <c r="E336">
        <f t="shared" si="27"/>
        <v>1172</v>
      </c>
      <c r="F336" t="s">
        <v>723</v>
      </c>
    </row>
    <row r="337" spans="1:6" ht="15.6" x14ac:dyDescent="0.3">
      <c r="A337" s="270" t="s">
        <v>631</v>
      </c>
      <c r="B337" s="270" t="s">
        <v>711</v>
      </c>
      <c r="C337">
        <f t="shared" si="30"/>
        <v>46</v>
      </c>
      <c r="D337">
        <f t="shared" ca="1" si="31"/>
        <v>1</v>
      </c>
      <c r="E337">
        <f t="shared" si="27"/>
        <v>1147</v>
      </c>
      <c r="F337" t="s">
        <v>723</v>
      </c>
    </row>
    <row r="338" spans="1:6" ht="15.6" x14ac:dyDescent="0.3">
      <c r="A338" s="270" t="s">
        <v>620</v>
      </c>
      <c r="B338" s="270" t="s">
        <v>706</v>
      </c>
      <c r="C338">
        <f t="shared" si="30"/>
        <v>49</v>
      </c>
      <c r="D338">
        <f t="shared" ca="1" si="31"/>
        <v>0</v>
      </c>
      <c r="E338">
        <f t="shared" si="27"/>
        <v>1122</v>
      </c>
      <c r="F338" t="s">
        <v>723</v>
      </c>
    </row>
    <row r="339" spans="1:6" ht="15.6" x14ac:dyDescent="0.3">
      <c r="A339" s="270" t="s">
        <v>655</v>
      </c>
      <c r="B339" s="270" t="s">
        <v>702</v>
      </c>
      <c r="C339">
        <f t="shared" si="30"/>
        <v>47</v>
      </c>
      <c r="D339">
        <f t="shared" ca="1" si="31"/>
        <v>1</v>
      </c>
      <c r="E339">
        <f t="shared" si="27"/>
        <v>1097</v>
      </c>
      <c r="F339" t="s">
        <v>723</v>
      </c>
    </row>
    <row r="340" spans="1:6" ht="15.6" x14ac:dyDescent="0.3">
      <c r="A340" s="270" t="s">
        <v>648</v>
      </c>
      <c r="B340" s="270" t="s">
        <v>673</v>
      </c>
      <c r="C340">
        <f t="shared" si="30"/>
        <v>50</v>
      </c>
      <c r="D340">
        <f t="shared" ca="1" si="31"/>
        <v>0</v>
      </c>
      <c r="E340">
        <f t="shared" si="27"/>
        <v>1189</v>
      </c>
      <c r="F340" t="s">
        <v>723</v>
      </c>
    </row>
    <row r="341" spans="1:6" ht="15.6" x14ac:dyDescent="0.3">
      <c r="A341" s="270" t="s">
        <v>660</v>
      </c>
      <c r="B341" s="270" t="s">
        <v>709</v>
      </c>
      <c r="C341">
        <f t="shared" si="30"/>
        <v>52</v>
      </c>
      <c r="D341">
        <f t="shared" ca="1" si="31"/>
        <v>0</v>
      </c>
      <c r="E341">
        <f t="shared" si="27"/>
        <v>1164</v>
      </c>
      <c r="F341" t="s">
        <v>723</v>
      </c>
    </row>
    <row r="342" spans="1:6" ht="15.6" x14ac:dyDescent="0.3">
      <c r="A342" s="270" t="s">
        <v>662</v>
      </c>
      <c r="B342" s="270" t="s">
        <v>568</v>
      </c>
      <c r="C342">
        <f t="shared" si="30"/>
        <v>63</v>
      </c>
      <c r="D342">
        <f t="shared" ca="1" si="31"/>
        <v>0</v>
      </c>
      <c r="E342">
        <f t="shared" si="27"/>
        <v>1139</v>
      </c>
      <c r="F342" t="s">
        <v>723</v>
      </c>
    </row>
    <row r="343" spans="1:6" ht="15.6" x14ac:dyDescent="0.3">
      <c r="A343" s="270" t="s">
        <v>622</v>
      </c>
      <c r="B343" s="270" t="s">
        <v>700</v>
      </c>
      <c r="C343">
        <f t="shared" si="30"/>
        <v>51</v>
      </c>
      <c r="D343">
        <f t="shared" ca="1" si="31"/>
        <v>1</v>
      </c>
      <c r="E343">
        <f t="shared" si="27"/>
        <v>1114</v>
      </c>
      <c r="F343" t="s">
        <v>723</v>
      </c>
    </row>
    <row r="344" spans="1:6" ht="15.6" x14ac:dyDescent="0.3">
      <c r="A344" s="270" t="s">
        <v>634</v>
      </c>
      <c r="B344" s="270" t="s">
        <v>682</v>
      </c>
      <c r="C344">
        <f t="shared" si="30"/>
        <v>66</v>
      </c>
      <c r="D344">
        <f t="shared" ca="1" si="31"/>
        <v>1</v>
      </c>
      <c r="E344">
        <f t="shared" si="27"/>
        <v>1206</v>
      </c>
      <c r="F344" t="s">
        <v>723</v>
      </c>
    </row>
    <row r="345" spans="1:6" ht="15.6" x14ac:dyDescent="0.3">
      <c r="A345" s="270" t="s">
        <v>645</v>
      </c>
      <c r="B345" s="270" t="s">
        <v>712</v>
      </c>
      <c r="C345">
        <f t="shared" si="30"/>
        <v>52</v>
      </c>
      <c r="D345">
        <f t="shared" ca="1" si="31"/>
        <v>1</v>
      </c>
      <c r="E345">
        <f t="shared" si="27"/>
        <v>1181</v>
      </c>
      <c r="F345" t="s">
        <v>723</v>
      </c>
    </row>
    <row r="346" spans="1:6" ht="15.6" x14ac:dyDescent="0.3">
      <c r="A346" s="270" t="s">
        <v>621</v>
      </c>
      <c r="B346" s="270" t="s">
        <v>680</v>
      </c>
      <c r="C346">
        <f t="shared" si="30"/>
        <v>54</v>
      </c>
      <c r="D346">
        <f t="shared" ca="1" si="31"/>
        <v>1</v>
      </c>
      <c r="E346">
        <f t="shared" si="27"/>
        <v>1156</v>
      </c>
      <c r="F346" t="s">
        <v>723</v>
      </c>
    </row>
    <row r="347" spans="1:6" ht="15.6" x14ac:dyDescent="0.3">
      <c r="A347" s="270" t="s">
        <v>628</v>
      </c>
      <c r="B347" s="270" t="s">
        <v>710</v>
      </c>
      <c r="C347">
        <f t="shared" si="30"/>
        <v>65</v>
      </c>
      <c r="D347">
        <f t="shared" ca="1" si="31"/>
        <v>0</v>
      </c>
      <c r="E347">
        <f t="shared" si="27"/>
        <v>1131</v>
      </c>
      <c r="F347" t="s">
        <v>723</v>
      </c>
    </row>
    <row r="348" spans="1:6" ht="15.6" x14ac:dyDescent="0.3">
      <c r="A348" s="270" t="s">
        <v>622</v>
      </c>
      <c r="B348" s="270" t="s">
        <v>704</v>
      </c>
      <c r="C348">
        <f t="shared" si="30"/>
        <v>53</v>
      </c>
      <c r="D348">
        <f t="shared" ca="1" si="31"/>
        <v>1</v>
      </c>
      <c r="E348">
        <f t="shared" si="27"/>
        <v>1223</v>
      </c>
      <c r="F348" t="s">
        <v>723</v>
      </c>
    </row>
    <row r="349" spans="1:6" ht="15.6" x14ac:dyDescent="0.3">
      <c r="A349" s="270" t="s">
        <v>626</v>
      </c>
      <c r="B349" s="270" t="s">
        <v>668</v>
      </c>
      <c r="C349">
        <f t="shared" si="30"/>
        <v>68</v>
      </c>
      <c r="D349">
        <f t="shared" ca="1" si="31"/>
        <v>0</v>
      </c>
      <c r="E349">
        <f t="shared" si="27"/>
        <v>1198</v>
      </c>
      <c r="F349" t="s">
        <v>723</v>
      </c>
    </row>
    <row r="350" spans="1:6" ht="15.6" x14ac:dyDescent="0.3">
      <c r="A350" s="270" t="s">
        <v>618</v>
      </c>
      <c r="B350" s="270" t="s">
        <v>705</v>
      </c>
      <c r="C350">
        <f t="shared" si="30"/>
        <v>54</v>
      </c>
      <c r="D350">
        <f t="shared" ca="1" si="31"/>
        <v>1</v>
      </c>
      <c r="E350">
        <f t="shared" si="27"/>
        <v>1173</v>
      </c>
      <c r="F350" t="s">
        <v>723</v>
      </c>
    </row>
    <row r="351" spans="1:6" ht="15.6" x14ac:dyDescent="0.3">
      <c r="A351" s="270" t="s">
        <v>632</v>
      </c>
      <c r="B351" s="270" t="s">
        <v>715</v>
      </c>
      <c r="C351">
        <f t="shared" si="30"/>
        <v>60</v>
      </c>
      <c r="D351">
        <f t="shared" ca="1" si="31"/>
        <v>0</v>
      </c>
      <c r="E351">
        <f t="shared" si="27"/>
        <v>1148</v>
      </c>
      <c r="F351" t="s">
        <v>723</v>
      </c>
    </row>
    <row r="352" spans="1:6" ht="15.6" x14ac:dyDescent="0.3">
      <c r="A352" s="270" t="s">
        <v>652</v>
      </c>
      <c r="B352" s="270" t="s">
        <v>680</v>
      </c>
      <c r="C352">
        <f t="shared" si="30"/>
        <v>58</v>
      </c>
      <c r="D352">
        <f t="shared" ca="1" si="31"/>
        <v>0</v>
      </c>
      <c r="E352">
        <f t="shared" si="27"/>
        <v>1240</v>
      </c>
      <c r="F352" t="s">
        <v>723</v>
      </c>
    </row>
    <row r="353" spans="1:6" ht="15.6" x14ac:dyDescent="0.3">
      <c r="A353" s="270" t="s">
        <v>650</v>
      </c>
      <c r="B353" s="270" t="s">
        <v>702</v>
      </c>
      <c r="C353">
        <f t="shared" si="30"/>
        <v>69</v>
      </c>
      <c r="D353">
        <f t="shared" ca="1" si="31"/>
        <v>1</v>
      </c>
      <c r="E353">
        <f t="shared" ref="E353:E416" si="32">E349+17</f>
        <v>1215</v>
      </c>
      <c r="F353" t="s">
        <v>723</v>
      </c>
    </row>
    <row r="354" spans="1:6" ht="15.6" x14ac:dyDescent="0.3">
      <c r="A354" s="270" t="s">
        <v>618</v>
      </c>
      <c r="B354" s="270" t="s">
        <v>715</v>
      </c>
      <c r="C354">
        <f t="shared" si="30"/>
        <v>69</v>
      </c>
      <c r="D354">
        <f t="shared" ca="1" si="31"/>
        <v>1</v>
      </c>
      <c r="E354">
        <f t="shared" si="32"/>
        <v>1190</v>
      </c>
      <c r="F354" t="s">
        <v>723</v>
      </c>
    </row>
    <row r="355" spans="1:6" ht="15.6" x14ac:dyDescent="0.3">
      <c r="A355" s="270" t="s">
        <v>617</v>
      </c>
      <c r="B355" s="270" t="s">
        <v>671</v>
      </c>
      <c r="C355">
        <f t="shared" si="30"/>
        <v>67</v>
      </c>
      <c r="D355">
        <f t="shared" ca="1" si="31"/>
        <v>0</v>
      </c>
      <c r="E355">
        <f t="shared" si="32"/>
        <v>1165</v>
      </c>
      <c r="F355" t="s">
        <v>723</v>
      </c>
    </row>
    <row r="356" spans="1:6" ht="15.6" x14ac:dyDescent="0.3">
      <c r="A356" s="270" t="s">
        <v>630</v>
      </c>
      <c r="B356" s="270" t="s">
        <v>688</v>
      </c>
      <c r="C356">
        <f t="shared" si="30"/>
        <v>60</v>
      </c>
      <c r="D356">
        <f t="shared" ca="1" si="31"/>
        <v>1</v>
      </c>
      <c r="E356">
        <f t="shared" si="32"/>
        <v>1257</v>
      </c>
      <c r="F356" t="s">
        <v>723</v>
      </c>
    </row>
    <row r="357" spans="1:6" ht="15.6" x14ac:dyDescent="0.3">
      <c r="A357" s="270" t="s">
        <v>663</v>
      </c>
      <c r="B357" s="270" t="s">
        <v>701</v>
      </c>
      <c r="C357">
        <f t="shared" si="30"/>
        <v>50</v>
      </c>
      <c r="D357">
        <f t="shared" ca="1" si="31"/>
        <v>1</v>
      </c>
      <c r="E357">
        <f t="shared" si="32"/>
        <v>1232</v>
      </c>
      <c r="F357" t="s">
        <v>723</v>
      </c>
    </row>
    <row r="358" spans="1:6" ht="15.6" x14ac:dyDescent="0.3">
      <c r="A358" s="270" t="s">
        <v>655</v>
      </c>
      <c r="B358" s="270" t="s">
        <v>704</v>
      </c>
      <c r="C358">
        <f t="shared" si="30"/>
        <v>53</v>
      </c>
      <c r="D358">
        <f t="shared" ca="1" si="31"/>
        <v>0</v>
      </c>
      <c r="E358">
        <f t="shared" si="32"/>
        <v>1207</v>
      </c>
      <c r="F358" t="s">
        <v>723</v>
      </c>
    </row>
    <row r="359" spans="1:6" ht="15.6" x14ac:dyDescent="0.3">
      <c r="A359" s="270" t="s">
        <v>656</v>
      </c>
      <c r="B359" s="270" t="s">
        <v>709</v>
      </c>
      <c r="C359">
        <f t="shared" si="30"/>
        <v>55</v>
      </c>
      <c r="D359">
        <f t="shared" ca="1" si="31"/>
        <v>0</v>
      </c>
      <c r="E359">
        <f t="shared" si="32"/>
        <v>1182</v>
      </c>
      <c r="F359" t="s">
        <v>723</v>
      </c>
    </row>
    <row r="360" spans="1:6" ht="15.6" x14ac:dyDescent="0.3">
      <c r="A360" s="270" t="s">
        <v>660</v>
      </c>
      <c r="B360" s="270" t="s">
        <v>698</v>
      </c>
      <c r="C360">
        <f t="shared" si="30"/>
        <v>51</v>
      </c>
      <c r="D360">
        <f t="shared" ca="1" si="31"/>
        <v>0</v>
      </c>
      <c r="E360">
        <f t="shared" si="32"/>
        <v>1274</v>
      </c>
      <c r="F360" t="s">
        <v>723</v>
      </c>
    </row>
    <row r="361" spans="1:6" ht="15.6" x14ac:dyDescent="0.3">
      <c r="A361" s="270" t="s">
        <v>630</v>
      </c>
      <c r="B361" s="270" t="s">
        <v>692</v>
      </c>
      <c r="C361">
        <f t="shared" si="30"/>
        <v>54</v>
      </c>
      <c r="D361">
        <f t="shared" ca="1" si="31"/>
        <v>0</v>
      </c>
      <c r="E361">
        <f t="shared" si="32"/>
        <v>1249</v>
      </c>
      <c r="F361" t="s">
        <v>723</v>
      </c>
    </row>
    <row r="362" spans="1:6" ht="15.6" x14ac:dyDescent="0.3">
      <c r="A362" s="270" t="s">
        <v>651</v>
      </c>
      <c r="B362" s="270" t="s">
        <v>676</v>
      </c>
      <c r="C362">
        <f t="shared" si="30"/>
        <v>52</v>
      </c>
      <c r="D362">
        <f t="shared" ca="1" si="31"/>
        <v>0</v>
      </c>
      <c r="E362">
        <f t="shared" si="32"/>
        <v>1224</v>
      </c>
      <c r="F362" t="s">
        <v>723</v>
      </c>
    </row>
    <row r="363" spans="1:6" ht="15.6" x14ac:dyDescent="0.3">
      <c r="A363" s="270" t="s">
        <v>641</v>
      </c>
      <c r="B363" s="270" t="s">
        <v>667</v>
      </c>
      <c r="C363">
        <f t="shared" si="30"/>
        <v>55</v>
      </c>
      <c r="D363">
        <f t="shared" ca="1" si="31"/>
        <v>1</v>
      </c>
      <c r="E363">
        <f t="shared" si="32"/>
        <v>1199</v>
      </c>
      <c r="F363" t="s">
        <v>723</v>
      </c>
    </row>
    <row r="364" spans="1:6" ht="15.6" x14ac:dyDescent="0.3">
      <c r="A364" s="270" t="s">
        <v>640</v>
      </c>
      <c r="B364" s="270" t="s">
        <v>709</v>
      </c>
      <c r="C364">
        <f t="shared" si="30"/>
        <v>57</v>
      </c>
      <c r="D364">
        <f t="shared" ca="1" si="31"/>
        <v>1</v>
      </c>
      <c r="E364">
        <f t="shared" si="32"/>
        <v>1291</v>
      </c>
      <c r="F364" t="s">
        <v>723</v>
      </c>
    </row>
    <row r="365" spans="1:6" ht="15.6" x14ac:dyDescent="0.3">
      <c r="A365" s="270" t="s">
        <v>641</v>
      </c>
      <c r="B365" s="270" t="s">
        <v>675</v>
      </c>
      <c r="C365">
        <f t="shared" si="30"/>
        <v>68</v>
      </c>
      <c r="D365">
        <f t="shared" ca="1" si="31"/>
        <v>1</v>
      </c>
      <c r="E365">
        <f t="shared" si="32"/>
        <v>1266</v>
      </c>
      <c r="F365" t="s">
        <v>723</v>
      </c>
    </row>
    <row r="366" spans="1:6" ht="15.6" x14ac:dyDescent="0.3">
      <c r="A366" s="270" t="s">
        <v>651</v>
      </c>
      <c r="B366" s="270" t="s">
        <v>674</v>
      </c>
      <c r="C366">
        <f t="shared" si="30"/>
        <v>56</v>
      </c>
      <c r="D366">
        <f t="shared" ca="1" si="31"/>
        <v>0</v>
      </c>
      <c r="E366">
        <f t="shared" si="32"/>
        <v>1241</v>
      </c>
      <c r="F366" t="s">
        <v>723</v>
      </c>
    </row>
    <row r="367" spans="1:6" ht="15.6" x14ac:dyDescent="0.3">
      <c r="A367" s="270" t="s">
        <v>617</v>
      </c>
      <c r="B367" s="270" t="s">
        <v>667</v>
      </c>
      <c r="C367">
        <f t="shared" si="30"/>
        <v>71</v>
      </c>
      <c r="D367">
        <f t="shared" ca="1" si="31"/>
        <v>0</v>
      </c>
      <c r="E367">
        <f t="shared" si="32"/>
        <v>1216</v>
      </c>
      <c r="F367" t="s">
        <v>723</v>
      </c>
    </row>
    <row r="368" spans="1:6" ht="15.6" x14ac:dyDescent="0.3">
      <c r="A368" s="270" t="s">
        <v>627</v>
      </c>
      <c r="B368" s="270" t="s">
        <v>679</v>
      </c>
      <c r="C368">
        <f t="shared" si="30"/>
        <v>57</v>
      </c>
      <c r="D368">
        <f t="shared" ca="1" si="31"/>
        <v>1</v>
      </c>
      <c r="E368">
        <f t="shared" si="32"/>
        <v>1308</v>
      </c>
      <c r="F368" t="s">
        <v>723</v>
      </c>
    </row>
    <row r="369" spans="1:6" ht="15.6" x14ac:dyDescent="0.3">
      <c r="A369" s="270" t="s">
        <v>654</v>
      </c>
      <c r="B369" s="270" t="s">
        <v>707</v>
      </c>
      <c r="C369">
        <f t="shared" si="30"/>
        <v>59</v>
      </c>
      <c r="D369">
        <f t="shared" ca="1" si="31"/>
        <v>1</v>
      </c>
      <c r="E369">
        <f t="shared" si="32"/>
        <v>1283</v>
      </c>
      <c r="F369" t="s">
        <v>723</v>
      </c>
    </row>
    <row r="370" spans="1:6" ht="15.6" x14ac:dyDescent="0.3">
      <c r="A370" s="270" t="s">
        <v>656</v>
      </c>
      <c r="B370" s="270" t="s">
        <v>688</v>
      </c>
      <c r="C370">
        <f t="shared" si="30"/>
        <v>70</v>
      </c>
      <c r="D370">
        <f t="shared" ca="1" si="31"/>
        <v>0</v>
      </c>
      <c r="E370">
        <f t="shared" si="32"/>
        <v>1258</v>
      </c>
      <c r="F370" t="s">
        <v>723</v>
      </c>
    </row>
    <row r="371" spans="1:6" ht="15.6" x14ac:dyDescent="0.3">
      <c r="A371" s="270" t="s">
        <v>634</v>
      </c>
      <c r="B371" s="270" t="s">
        <v>682</v>
      </c>
      <c r="C371">
        <f t="shared" si="30"/>
        <v>58</v>
      </c>
      <c r="D371">
        <f t="shared" ca="1" si="31"/>
        <v>1</v>
      </c>
      <c r="E371">
        <f t="shared" si="32"/>
        <v>1233</v>
      </c>
      <c r="F371" t="s">
        <v>723</v>
      </c>
    </row>
    <row r="372" spans="1:6" ht="15.6" x14ac:dyDescent="0.3">
      <c r="A372" s="270" t="s">
        <v>629</v>
      </c>
      <c r="B372" s="270" t="s">
        <v>679</v>
      </c>
      <c r="C372">
        <f t="shared" si="30"/>
        <v>73</v>
      </c>
      <c r="D372">
        <f t="shared" ca="1" si="31"/>
        <v>1</v>
      </c>
      <c r="E372">
        <f t="shared" si="32"/>
        <v>1325</v>
      </c>
      <c r="F372" t="s">
        <v>723</v>
      </c>
    </row>
    <row r="373" spans="1:6" ht="15.6" x14ac:dyDescent="0.3">
      <c r="A373" s="270" t="s">
        <v>664</v>
      </c>
      <c r="B373" s="270" t="s">
        <v>669</v>
      </c>
      <c r="C373">
        <f t="shared" si="30"/>
        <v>59</v>
      </c>
      <c r="D373">
        <f t="shared" ca="1" si="31"/>
        <v>1</v>
      </c>
      <c r="E373">
        <f t="shared" si="32"/>
        <v>1300</v>
      </c>
      <c r="F373" t="s">
        <v>723</v>
      </c>
    </row>
    <row r="374" spans="1:6" ht="15.6" x14ac:dyDescent="0.3">
      <c r="A374" s="270" t="s">
        <v>622</v>
      </c>
      <c r="B374" s="270" t="s">
        <v>696</v>
      </c>
      <c r="C374">
        <f t="shared" si="30"/>
        <v>65</v>
      </c>
      <c r="D374">
        <f t="shared" ca="1" si="31"/>
        <v>1</v>
      </c>
      <c r="E374">
        <f t="shared" si="32"/>
        <v>1275</v>
      </c>
      <c r="F374" t="s">
        <v>723</v>
      </c>
    </row>
    <row r="375" spans="1:6" ht="15.6" x14ac:dyDescent="0.3">
      <c r="A375" s="270" t="s">
        <v>621</v>
      </c>
      <c r="B375" s="270" t="s">
        <v>670</v>
      </c>
      <c r="C375">
        <f t="shared" si="30"/>
        <v>63</v>
      </c>
      <c r="D375">
        <f t="shared" ca="1" si="31"/>
        <v>0</v>
      </c>
      <c r="E375">
        <f t="shared" si="32"/>
        <v>1250</v>
      </c>
      <c r="F375" t="s">
        <v>723</v>
      </c>
    </row>
    <row r="376" spans="1:6" ht="15.6" x14ac:dyDescent="0.3">
      <c r="A376" s="270" t="s">
        <v>648</v>
      </c>
      <c r="B376" s="270" t="s">
        <v>705</v>
      </c>
      <c r="C376">
        <f t="shared" si="30"/>
        <v>74</v>
      </c>
      <c r="D376">
        <f t="shared" ca="1" si="31"/>
        <v>1</v>
      </c>
      <c r="E376">
        <f t="shared" si="32"/>
        <v>1342</v>
      </c>
      <c r="F376" t="s">
        <v>723</v>
      </c>
    </row>
    <row r="377" spans="1:6" ht="15.6" x14ac:dyDescent="0.3">
      <c r="A377" s="270" t="s">
        <v>645</v>
      </c>
      <c r="B377" s="270" t="s">
        <v>705</v>
      </c>
      <c r="C377">
        <f t="shared" si="30"/>
        <v>72</v>
      </c>
      <c r="D377">
        <f t="shared" ca="1" si="31"/>
        <v>1</v>
      </c>
      <c r="E377">
        <f t="shared" si="32"/>
        <v>1317</v>
      </c>
      <c r="F377" t="s">
        <v>723</v>
      </c>
    </row>
    <row r="378" spans="1:6" ht="15.6" x14ac:dyDescent="0.3">
      <c r="A378" s="270" t="s">
        <v>643</v>
      </c>
      <c r="B378" s="270" t="s">
        <v>706</v>
      </c>
      <c r="C378">
        <f t="shared" si="30"/>
        <v>65</v>
      </c>
      <c r="D378">
        <f t="shared" ca="1" si="31"/>
        <v>0</v>
      </c>
      <c r="E378">
        <f t="shared" si="32"/>
        <v>1292</v>
      </c>
      <c r="F378" t="s">
        <v>723</v>
      </c>
    </row>
    <row r="379" spans="1:6" ht="15.6" x14ac:dyDescent="0.3">
      <c r="A379" s="270" t="s">
        <v>655</v>
      </c>
      <c r="B379" s="270" t="s">
        <v>710</v>
      </c>
      <c r="C379">
        <f t="shared" si="30"/>
        <v>55</v>
      </c>
      <c r="D379">
        <f t="shared" ca="1" si="31"/>
        <v>0</v>
      </c>
      <c r="E379">
        <f t="shared" si="32"/>
        <v>1267</v>
      </c>
      <c r="F379" t="s">
        <v>723</v>
      </c>
    </row>
    <row r="380" spans="1:6" ht="15.6" x14ac:dyDescent="0.3">
      <c r="A380" s="270" t="s">
        <v>646</v>
      </c>
      <c r="B380" s="270" t="s">
        <v>685</v>
      </c>
      <c r="C380">
        <f t="shared" si="30"/>
        <v>58</v>
      </c>
      <c r="D380">
        <f t="shared" ca="1" si="31"/>
        <v>1</v>
      </c>
      <c r="E380">
        <f t="shared" si="32"/>
        <v>1359</v>
      </c>
      <c r="F380" t="s">
        <v>723</v>
      </c>
    </row>
    <row r="381" spans="1:6" ht="15.6" x14ac:dyDescent="0.3">
      <c r="A381" s="270" t="s">
        <v>654</v>
      </c>
      <c r="B381" s="270" t="s">
        <v>692</v>
      </c>
      <c r="C381">
        <f t="shared" ref="C381:C444" si="33">C182+4</f>
        <v>60</v>
      </c>
      <c r="D381">
        <f t="shared" ca="1" si="31"/>
        <v>0</v>
      </c>
      <c r="E381">
        <f t="shared" si="32"/>
        <v>1334</v>
      </c>
      <c r="F381" t="s">
        <v>723</v>
      </c>
    </row>
    <row r="382" spans="1:6" ht="15.6" x14ac:dyDescent="0.3">
      <c r="A382" s="270" t="s">
        <v>634</v>
      </c>
      <c r="B382" s="270" t="s">
        <v>692</v>
      </c>
      <c r="C382">
        <f t="shared" si="33"/>
        <v>56</v>
      </c>
      <c r="D382">
        <f t="shared" ca="1" si="31"/>
        <v>1</v>
      </c>
      <c r="E382">
        <f t="shared" si="32"/>
        <v>1309</v>
      </c>
      <c r="F382" t="s">
        <v>723</v>
      </c>
    </row>
    <row r="383" spans="1:6" ht="15.6" x14ac:dyDescent="0.3">
      <c r="A383" s="270" t="s">
        <v>621</v>
      </c>
      <c r="B383" s="270" t="s">
        <v>672</v>
      </c>
      <c r="C383">
        <f t="shared" si="33"/>
        <v>59</v>
      </c>
      <c r="D383">
        <f t="shared" ca="1" si="31"/>
        <v>0</v>
      </c>
      <c r="E383">
        <f t="shared" si="32"/>
        <v>1284</v>
      </c>
      <c r="F383" t="s">
        <v>723</v>
      </c>
    </row>
    <row r="384" spans="1:6" ht="15.6" x14ac:dyDescent="0.3">
      <c r="A384" s="270" t="s">
        <v>633</v>
      </c>
      <c r="B384" s="270" t="s">
        <v>686</v>
      </c>
      <c r="C384">
        <f t="shared" si="33"/>
        <v>57</v>
      </c>
      <c r="D384">
        <f t="shared" ca="1" si="31"/>
        <v>0</v>
      </c>
      <c r="E384">
        <f t="shared" si="32"/>
        <v>1376</v>
      </c>
      <c r="F384" t="s">
        <v>723</v>
      </c>
    </row>
    <row r="385" spans="1:6" ht="15.6" x14ac:dyDescent="0.3">
      <c r="A385" s="270" t="s">
        <v>656</v>
      </c>
      <c r="B385" s="270" t="s">
        <v>678</v>
      </c>
      <c r="C385">
        <f t="shared" si="33"/>
        <v>60</v>
      </c>
      <c r="D385">
        <f t="shared" ca="1" si="31"/>
        <v>0</v>
      </c>
      <c r="E385">
        <f t="shared" si="32"/>
        <v>1351</v>
      </c>
      <c r="F385" t="s">
        <v>723</v>
      </c>
    </row>
    <row r="386" spans="1:6" ht="15.6" x14ac:dyDescent="0.3">
      <c r="A386" s="270" t="s">
        <v>626</v>
      </c>
      <c r="B386" s="270" t="s">
        <v>672</v>
      </c>
      <c r="C386">
        <f t="shared" si="33"/>
        <v>60</v>
      </c>
      <c r="D386">
        <f t="shared" ca="1" si="31"/>
        <v>1</v>
      </c>
      <c r="E386">
        <f t="shared" si="32"/>
        <v>1326</v>
      </c>
      <c r="F386" t="s">
        <v>723</v>
      </c>
    </row>
    <row r="387" spans="1:6" ht="15.6" x14ac:dyDescent="0.3">
      <c r="A387" s="270" t="s">
        <v>637</v>
      </c>
      <c r="B387" s="270" t="s">
        <v>681</v>
      </c>
      <c r="C387">
        <f t="shared" si="33"/>
        <v>62</v>
      </c>
      <c r="D387">
        <f t="shared" ref="D387:D450" ca="1" si="34">RANDBETWEEN(0,1)</f>
        <v>1</v>
      </c>
      <c r="E387">
        <f t="shared" si="32"/>
        <v>1301</v>
      </c>
      <c r="F387" t="s">
        <v>723</v>
      </c>
    </row>
    <row r="388" spans="1:6" ht="15.6" x14ac:dyDescent="0.3">
      <c r="A388" s="270" t="s">
        <v>631</v>
      </c>
      <c r="B388" s="270" t="s">
        <v>712</v>
      </c>
      <c r="C388">
        <f t="shared" si="33"/>
        <v>73</v>
      </c>
      <c r="D388">
        <f t="shared" ca="1" si="34"/>
        <v>1</v>
      </c>
      <c r="E388">
        <f t="shared" si="32"/>
        <v>1393</v>
      </c>
      <c r="F388" t="s">
        <v>723</v>
      </c>
    </row>
    <row r="389" spans="1:6" ht="15.6" x14ac:dyDescent="0.3">
      <c r="A389" s="270" t="s">
        <v>640</v>
      </c>
      <c r="B389" s="270" t="s">
        <v>687</v>
      </c>
      <c r="C389">
        <f t="shared" si="33"/>
        <v>61</v>
      </c>
      <c r="D389">
        <f t="shared" ca="1" si="34"/>
        <v>0</v>
      </c>
      <c r="E389">
        <f t="shared" si="32"/>
        <v>1368</v>
      </c>
      <c r="F389" t="s">
        <v>723</v>
      </c>
    </row>
    <row r="390" spans="1:6" ht="15.6" x14ac:dyDescent="0.3">
      <c r="A390" s="270" t="s">
        <v>649</v>
      </c>
      <c r="B390" s="270" t="s">
        <v>691</v>
      </c>
      <c r="C390">
        <f t="shared" si="33"/>
        <v>76</v>
      </c>
      <c r="D390">
        <f t="shared" ca="1" si="34"/>
        <v>0</v>
      </c>
      <c r="E390">
        <f t="shared" si="32"/>
        <v>1343</v>
      </c>
      <c r="F390" t="s">
        <v>723</v>
      </c>
    </row>
    <row r="391" spans="1:6" ht="15.6" x14ac:dyDescent="0.3">
      <c r="A391" s="270" t="s">
        <v>621</v>
      </c>
      <c r="B391" s="270" t="s">
        <v>698</v>
      </c>
      <c r="C391">
        <f t="shared" si="33"/>
        <v>62</v>
      </c>
      <c r="D391">
        <f t="shared" ca="1" si="34"/>
        <v>0</v>
      </c>
      <c r="E391">
        <f t="shared" si="32"/>
        <v>1318</v>
      </c>
      <c r="F391" t="s">
        <v>723</v>
      </c>
    </row>
    <row r="392" spans="1:6" ht="15.6" x14ac:dyDescent="0.3">
      <c r="A392" s="270" t="s">
        <v>617</v>
      </c>
      <c r="B392" s="270" t="s">
        <v>667</v>
      </c>
      <c r="C392">
        <f t="shared" si="33"/>
        <v>64</v>
      </c>
      <c r="D392">
        <f t="shared" ca="1" si="34"/>
        <v>0</v>
      </c>
      <c r="E392">
        <f t="shared" si="32"/>
        <v>1410</v>
      </c>
      <c r="F392" t="s">
        <v>723</v>
      </c>
    </row>
    <row r="393" spans="1:6" ht="15.6" x14ac:dyDescent="0.3">
      <c r="A393" s="270" t="s">
        <v>626</v>
      </c>
      <c r="B393" s="270" t="s">
        <v>698</v>
      </c>
      <c r="C393">
        <f t="shared" si="33"/>
        <v>75</v>
      </c>
      <c r="D393">
        <f t="shared" ca="1" si="34"/>
        <v>0</v>
      </c>
      <c r="E393">
        <f t="shared" si="32"/>
        <v>1385</v>
      </c>
      <c r="F393" t="s">
        <v>723</v>
      </c>
    </row>
    <row r="394" spans="1:6" ht="15.6" x14ac:dyDescent="0.3">
      <c r="A394" s="270" t="s">
        <v>662</v>
      </c>
      <c r="B394" s="270" t="s">
        <v>692</v>
      </c>
      <c r="C394">
        <f t="shared" si="33"/>
        <v>63</v>
      </c>
      <c r="D394">
        <f t="shared" ca="1" si="34"/>
        <v>1</v>
      </c>
      <c r="E394">
        <f t="shared" si="32"/>
        <v>1360</v>
      </c>
      <c r="F394" t="s">
        <v>723</v>
      </c>
    </row>
    <row r="395" spans="1:6" ht="15.6" x14ac:dyDescent="0.3">
      <c r="A395" s="270" t="s">
        <v>623</v>
      </c>
      <c r="B395" s="270" t="s">
        <v>676</v>
      </c>
      <c r="C395">
        <f t="shared" si="33"/>
        <v>78</v>
      </c>
      <c r="D395">
        <f t="shared" ca="1" si="34"/>
        <v>1</v>
      </c>
      <c r="E395">
        <f t="shared" si="32"/>
        <v>1335</v>
      </c>
      <c r="F395" t="s">
        <v>723</v>
      </c>
    </row>
    <row r="396" spans="1:6" ht="15.6" x14ac:dyDescent="0.3">
      <c r="A396" s="270" t="s">
        <v>640</v>
      </c>
      <c r="B396" s="270" t="s">
        <v>687</v>
      </c>
      <c r="C396">
        <f t="shared" si="33"/>
        <v>64</v>
      </c>
      <c r="D396">
        <f t="shared" ca="1" si="34"/>
        <v>0</v>
      </c>
      <c r="E396">
        <f t="shared" si="32"/>
        <v>1427</v>
      </c>
      <c r="F396" t="s">
        <v>723</v>
      </c>
    </row>
    <row r="397" spans="1:6" ht="15.6" x14ac:dyDescent="0.3">
      <c r="A397" s="270" t="s">
        <v>637</v>
      </c>
      <c r="B397" s="270" t="s">
        <v>699</v>
      </c>
      <c r="C397">
        <f t="shared" si="33"/>
        <v>70</v>
      </c>
      <c r="D397">
        <f t="shared" ca="1" si="34"/>
        <v>1</v>
      </c>
      <c r="E397">
        <f t="shared" si="32"/>
        <v>1402</v>
      </c>
      <c r="F397" t="s">
        <v>723</v>
      </c>
    </row>
    <row r="398" spans="1:6" ht="15.6" x14ac:dyDescent="0.3">
      <c r="A398" s="270" t="s">
        <v>618</v>
      </c>
      <c r="B398" s="270" t="s">
        <v>695</v>
      </c>
      <c r="C398">
        <f t="shared" si="33"/>
        <v>68</v>
      </c>
      <c r="D398">
        <f t="shared" ca="1" si="34"/>
        <v>1</v>
      </c>
      <c r="E398">
        <f t="shared" si="32"/>
        <v>1377</v>
      </c>
      <c r="F398" t="s">
        <v>723</v>
      </c>
    </row>
    <row r="399" spans="1:6" ht="15.6" x14ac:dyDescent="0.3">
      <c r="A399" s="270" t="s">
        <v>654</v>
      </c>
      <c r="B399" s="270" t="s">
        <v>709</v>
      </c>
      <c r="C399">
        <f t="shared" si="33"/>
        <v>79</v>
      </c>
      <c r="D399">
        <f t="shared" ca="1" si="34"/>
        <v>0</v>
      </c>
      <c r="E399">
        <f t="shared" si="32"/>
        <v>1352</v>
      </c>
      <c r="F399" t="s">
        <v>723</v>
      </c>
    </row>
    <row r="400" spans="1:6" ht="15.6" x14ac:dyDescent="0.3">
      <c r="A400" s="270" t="s">
        <v>643</v>
      </c>
      <c r="B400" s="270" t="s">
        <v>709</v>
      </c>
      <c r="C400">
        <f t="shared" si="33"/>
        <v>77</v>
      </c>
      <c r="D400">
        <f t="shared" ca="1" si="34"/>
        <v>1</v>
      </c>
      <c r="E400">
        <f t="shared" si="32"/>
        <v>1444</v>
      </c>
      <c r="F400" t="s">
        <v>723</v>
      </c>
    </row>
    <row r="401" spans="1:6" ht="15.6" x14ac:dyDescent="0.3">
      <c r="A401" s="270" t="s">
        <v>617</v>
      </c>
      <c r="B401" s="270" t="s">
        <v>677</v>
      </c>
      <c r="C401">
        <f t="shared" si="33"/>
        <v>70</v>
      </c>
      <c r="D401">
        <f t="shared" ca="1" si="34"/>
        <v>0</v>
      </c>
      <c r="E401">
        <f t="shared" si="32"/>
        <v>1419</v>
      </c>
      <c r="F401" t="s">
        <v>723</v>
      </c>
    </row>
    <row r="402" spans="1:6" ht="15.6" x14ac:dyDescent="0.3">
      <c r="A402" s="270" t="s">
        <v>664</v>
      </c>
      <c r="B402" s="270" t="s">
        <v>674</v>
      </c>
      <c r="C402">
        <f t="shared" si="33"/>
        <v>60</v>
      </c>
      <c r="D402">
        <f t="shared" ca="1" si="34"/>
        <v>1</v>
      </c>
      <c r="E402">
        <f t="shared" si="32"/>
        <v>1394</v>
      </c>
      <c r="F402" t="s">
        <v>723</v>
      </c>
    </row>
    <row r="403" spans="1:6" ht="15.6" x14ac:dyDescent="0.3">
      <c r="A403" s="270" t="s">
        <v>626</v>
      </c>
      <c r="B403" s="270" t="s">
        <v>668</v>
      </c>
      <c r="C403">
        <f t="shared" si="33"/>
        <v>63</v>
      </c>
      <c r="D403">
        <f t="shared" ca="1" si="34"/>
        <v>0</v>
      </c>
      <c r="E403">
        <f t="shared" si="32"/>
        <v>1369</v>
      </c>
      <c r="F403" t="s">
        <v>723</v>
      </c>
    </row>
    <row r="404" spans="1:6" ht="15.6" x14ac:dyDescent="0.3">
      <c r="A404" s="270" t="s">
        <v>637</v>
      </c>
      <c r="B404" s="270" t="s">
        <v>678</v>
      </c>
      <c r="C404">
        <f t="shared" si="33"/>
        <v>65</v>
      </c>
      <c r="D404">
        <f t="shared" ca="1" si="34"/>
        <v>1</v>
      </c>
      <c r="E404">
        <f t="shared" si="32"/>
        <v>1461</v>
      </c>
      <c r="F404" t="s">
        <v>723</v>
      </c>
    </row>
    <row r="405" spans="1:6" ht="15.6" x14ac:dyDescent="0.3">
      <c r="A405" s="270" t="s">
        <v>650</v>
      </c>
      <c r="B405" s="270" t="s">
        <v>696</v>
      </c>
      <c r="C405">
        <f t="shared" si="33"/>
        <v>61</v>
      </c>
      <c r="D405">
        <f t="shared" ca="1" si="34"/>
        <v>0</v>
      </c>
      <c r="E405">
        <f t="shared" si="32"/>
        <v>1436</v>
      </c>
      <c r="F405" t="s">
        <v>723</v>
      </c>
    </row>
    <row r="406" spans="1:6" ht="15.6" x14ac:dyDescent="0.3">
      <c r="A406" s="270" t="s">
        <v>629</v>
      </c>
      <c r="B406" s="270" t="s">
        <v>692</v>
      </c>
      <c r="C406">
        <f t="shared" si="33"/>
        <v>64</v>
      </c>
      <c r="D406">
        <f t="shared" ca="1" si="34"/>
        <v>0</v>
      </c>
      <c r="E406">
        <f t="shared" si="32"/>
        <v>1411</v>
      </c>
      <c r="F406" t="s">
        <v>723</v>
      </c>
    </row>
    <row r="407" spans="1:6" ht="15.6" x14ac:dyDescent="0.3">
      <c r="A407" s="270" t="s">
        <v>662</v>
      </c>
      <c r="B407" s="270" t="s">
        <v>672</v>
      </c>
      <c r="C407">
        <f t="shared" si="33"/>
        <v>62</v>
      </c>
      <c r="D407">
        <f t="shared" ca="1" si="34"/>
        <v>0</v>
      </c>
      <c r="E407">
        <f t="shared" si="32"/>
        <v>1386</v>
      </c>
      <c r="F407" t="s">
        <v>723</v>
      </c>
    </row>
    <row r="408" spans="1:6" ht="15.6" x14ac:dyDescent="0.3">
      <c r="A408" s="270" t="s">
        <v>657</v>
      </c>
      <c r="B408" s="270" t="s">
        <v>692</v>
      </c>
      <c r="C408">
        <f t="shared" si="33"/>
        <v>65</v>
      </c>
      <c r="D408">
        <f t="shared" ca="1" si="34"/>
        <v>1</v>
      </c>
      <c r="E408">
        <f t="shared" si="32"/>
        <v>1478</v>
      </c>
      <c r="F408" t="s">
        <v>723</v>
      </c>
    </row>
    <row r="409" spans="1:6" ht="15.6" x14ac:dyDescent="0.3">
      <c r="A409" s="270" t="s">
        <v>646</v>
      </c>
      <c r="B409" s="270" t="s">
        <v>694</v>
      </c>
      <c r="C409">
        <f t="shared" si="33"/>
        <v>67</v>
      </c>
      <c r="D409">
        <f t="shared" ca="1" si="34"/>
        <v>1</v>
      </c>
      <c r="E409">
        <f t="shared" si="32"/>
        <v>1453</v>
      </c>
      <c r="F409" t="s">
        <v>723</v>
      </c>
    </row>
    <row r="410" spans="1:6" ht="15.6" x14ac:dyDescent="0.3">
      <c r="A410" s="270" t="s">
        <v>665</v>
      </c>
      <c r="B410" s="270" t="s">
        <v>673</v>
      </c>
      <c r="C410">
        <f t="shared" si="33"/>
        <v>78</v>
      </c>
      <c r="D410">
        <f t="shared" ca="1" si="34"/>
        <v>0</v>
      </c>
      <c r="E410">
        <f t="shared" si="32"/>
        <v>1428</v>
      </c>
      <c r="F410" t="s">
        <v>723</v>
      </c>
    </row>
    <row r="411" spans="1:6" ht="15.6" x14ac:dyDescent="0.3">
      <c r="A411" s="270" t="s">
        <v>630</v>
      </c>
      <c r="B411" s="270" t="s">
        <v>675</v>
      </c>
      <c r="C411">
        <f t="shared" si="33"/>
        <v>66</v>
      </c>
      <c r="D411">
        <f t="shared" ca="1" si="34"/>
        <v>0</v>
      </c>
      <c r="E411">
        <f t="shared" si="32"/>
        <v>1403</v>
      </c>
      <c r="F411" t="s">
        <v>723</v>
      </c>
    </row>
    <row r="412" spans="1:6" ht="15.6" x14ac:dyDescent="0.3">
      <c r="A412" s="270" t="s">
        <v>643</v>
      </c>
      <c r="B412" s="270" t="s">
        <v>679</v>
      </c>
      <c r="C412">
        <f t="shared" si="33"/>
        <v>81</v>
      </c>
      <c r="D412">
        <f t="shared" ca="1" si="34"/>
        <v>1</v>
      </c>
      <c r="E412">
        <f t="shared" si="32"/>
        <v>1495</v>
      </c>
      <c r="F412" t="s">
        <v>723</v>
      </c>
    </row>
    <row r="413" spans="1:6" ht="15.6" x14ac:dyDescent="0.3">
      <c r="A413" s="270" t="s">
        <v>628</v>
      </c>
      <c r="B413" s="270" t="s">
        <v>705</v>
      </c>
      <c r="C413">
        <f t="shared" si="33"/>
        <v>67</v>
      </c>
      <c r="D413">
        <f t="shared" ca="1" si="34"/>
        <v>0</v>
      </c>
      <c r="E413">
        <f t="shared" si="32"/>
        <v>1470</v>
      </c>
      <c r="F413" t="s">
        <v>723</v>
      </c>
    </row>
    <row r="414" spans="1:6" ht="15.6" x14ac:dyDescent="0.3">
      <c r="A414" s="270" t="s">
        <v>621</v>
      </c>
      <c r="B414" s="270" t="s">
        <v>690</v>
      </c>
      <c r="C414">
        <f t="shared" si="33"/>
        <v>69</v>
      </c>
      <c r="D414">
        <f t="shared" ca="1" si="34"/>
        <v>0</v>
      </c>
      <c r="E414">
        <f t="shared" si="32"/>
        <v>1445</v>
      </c>
      <c r="F414" t="s">
        <v>723</v>
      </c>
    </row>
    <row r="415" spans="1:6" ht="15.6" x14ac:dyDescent="0.3">
      <c r="A415" s="270" t="s">
        <v>664</v>
      </c>
      <c r="B415" s="270" t="s">
        <v>706</v>
      </c>
      <c r="C415">
        <f t="shared" si="33"/>
        <v>80</v>
      </c>
      <c r="D415">
        <f t="shared" ca="1" si="34"/>
        <v>1</v>
      </c>
      <c r="E415">
        <f t="shared" si="32"/>
        <v>1420</v>
      </c>
      <c r="F415" t="s">
        <v>723</v>
      </c>
    </row>
    <row r="416" spans="1:6" ht="15.6" x14ac:dyDescent="0.3">
      <c r="A416" s="270" t="s">
        <v>655</v>
      </c>
      <c r="B416" s="270" t="s">
        <v>687</v>
      </c>
      <c r="C416">
        <f t="shared" si="33"/>
        <v>68</v>
      </c>
      <c r="D416">
        <f t="shared" ca="1" si="34"/>
        <v>1</v>
      </c>
      <c r="E416">
        <f t="shared" si="32"/>
        <v>1512</v>
      </c>
      <c r="F416" t="s">
        <v>723</v>
      </c>
    </row>
    <row r="417" spans="1:6" ht="15.6" x14ac:dyDescent="0.3">
      <c r="A417" s="270" t="s">
        <v>665</v>
      </c>
      <c r="B417" s="270" t="s">
        <v>689</v>
      </c>
      <c r="C417">
        <f t="shared" si="33"/>
        <v>83</v>
      </c>
      <c r="D417">
        <f t="shared" ca="1" si="34"/>
        <v>0</v>
      </c>
      <c r="E417">
        <f t="shared" ref="E417:E480" si="35">E413+17</f>
        <v>1487</v>
      </c>
      <c r="F417" t="s">
        <v>723</v>
      </c>
    </row>
    <row r="418" spans="1:6" ht="15.6" x14ac:dyDescent="0.3">
      <c r="A418" s="270" t="s">
        <v>646</v>
      </c>
      <c r="B418" s="270" t="s">
        <v>671</v>
      </c>
      <c r="C418">
        <f t="shared" si="33"/>
        <v>83</v>
      </c>
      <c r="D418">
        <f t="shared" ca="1" si="34"/>
        <v>1</v>
      </c>
      <c r="E418">
        <f t="shared" si="35"/>
        <v>1462</v>
      </c>
      <c r="F418" t="s">
        <v>723</v>
      </c>
    </row>
    <row r="419" spans="1:6" ht="15.6" x14ac:dyDescent="0.3">
      <c r="A419" s="270" t="s">
        <v>666</v>
      </c>
      <c r="B419" s="270" t="s">
        <v>674</v>
      </c>
      <c r="C419">
        <f t="shared" si="33"/>
        <v>69</v>
      </c>
      <c r="D419">
        <f t="shared" ca="1" si="34"/>
        <v>0</v>
      </c>
      <c r="E419">
        <f t="shared" si="35"/>
        <v>1437</v>
      </c>
      <c r="F419" t="s">
        <v>723</v>
      </c>
    </row>
    <row r="420" spans="1:6" ht="15.6" x14ac:dyDescent="0.3">
      <c r="A420" s="270" t="s">
        <v>664</v>
      </c>
      <c r="B420" s="270" t="s">
        <v>700</v>
      </c>
      <c r="C420">
        <f t="shared" si="33"/>
        <v>75</v>
      </c>
      <c r="D420">
        <f t="shared" ca="1" si="34"/>
        <v>1</v>
      </c>
      <c r="E420">
        <f t="shared" si="35"/>
        <v>1529</v>
      </c>
      <c r="F420" t="s">
        <v>723</v>
      </c>
    </row>
    <row r="421" spans="1:6" ht="15.6" x14ac:dyDescent="0.3">
      <c r="A421" s="270" t="s">
        <v>654</v>
      </c>
      <c r="B421" s="270" t="s">
        <v>684</v>
      </c>
      <c r="C421">
        <f t="shared" si="33"/>
        <v>73</v>
      </c>
      <c r="D421">
        <f t="shared" ca="1" si="34"/>
        <v>1</v>
      </c>
      <c r="E421">
        <f t="shared" si="35"/>
        <v>1504</v>
      </c>
      <c r="F421" t="s">
        <v>723</v>
      </c>
    </row>
    <row r="422" spans="1:6" ht="15.6" x14ac:dyDescent="0.3">
      <c r="A422" s="270" t="s">
        <v>633</v>
      </c>
      <c r="B422" s="270" t="s">
        <v>709</v>
      </c>
      <c r="C422">
        <f t="shared" si="33"/>
        <v>84</v>
      </c>
      <c r="D422">
        <f t="shared" ca="1" si="34"/>
        <v>1</v>
      </c>
      <c r="E422">
        <f t="shared" si="35"/>
        <v>1479</v>
      </c>
      <c r="F422" t="s">
        <v>723</v>
      </c>
    </row>
    <row r="423" spans="1:6" ht="15.6" x14ac:dyDescent="0.3">
      <c r="A423" s="270" t="s">
        <v>627</v>
      </c>
      <c r="B423" s="270" t="s">
        <v>707</v>
      </c>
      <c r="C423">
        <f t="shared" si="33"/>
        <v>82</v>
      </c>
      <c r="D423">
        <f t="shared" ca="1" si="34"/>
        <v>1</v>
      </c>
      <c r="E423">
        <f t="shared" si="35"/>
        <v>1454</v>
      </c>
      <c r="F423" t="s">
        <v>723</v>
      </c>
    </row>
    <row r="424" spans="1:6" ht="15.6" x14ac:dyDescent="0.3">
      <c r="A424" s="270" t="s">
        <v>660</v>
      </c>
      <c r="B424" s="270" t="s">
        <v>687</v>
      </c>
      <c r="C424">
        <f t="shared" si="33"/>
        <v>75</v>
      </c>
      <c r="D424">
        <f t="shared" ca="1" si="34"/>
        <v>0</v>
      </c>
      <c r="E424">
        <f t="shared" si="35"/>
        <v>1546</v>
      </c>
      <c r="F424" t="s">
        <v>723</v>
      </c>
    </row>
    <row r="425" spans="1:6" ht="15.6" x14ac:dyDescent="0.3">
      <c r="A425" s="270" t="s">
        <v>637</v>
      </c>
      <c r="B425" s="270" t="s">
        <v>682</v>
      </c>
      <c r="C425">
        <f t="shared" si="33"/>
        <v>65</v>
      </c>
      <c r="D425">
        <f t="shared" ca="1" si="34"/>
        <v>0</v>
      </c>
      <c r="E425">
        <f t="shared" si="35"/>
        <v>1521</v>
      </c>
      <c r="F425" t="s">
        <v>723</v>
      </c>
    </row>
    <row r="426" spans="1:6" ht="15.6" x14ac:dyDescent="0.3">
      <c r="A426" s="270" t="s">
        <v>662</v>
      </c>
      <c r="B426" s="270" t="s">
        <v>690</v>
      </c>
      <c r="C426">
        <f t="shared" si="33"/>
        <v>68</v>
      </c>
      <c r="D426">
        <f t="shared" ca="1" si="34"/>
        <v>0</v>
      </c>
      <c r="E426">
        <f t="shared" si="35"/>
        <v>1496</v>
      </c>
      <c r="F426" t="s">
        <v>723</v>
      </c>
    </row>
    <row r="427" spans="1:6" ht="15.6" x14ac:dyDescent="0.3">
      <c r="A427" s="270" t="s">
        <v>640</v>
      </c>
      <c r="B427" s="270" t="s">
        <v>704</v>
      </c>
      <c r="C427">
        <f t="shared" si="33"/>
        <v>70</v>
      </c>
      <c r="D427">
        <f t="shared" ca="1" si="34"/>
        <v>0</v>
      </c>
      <c r="E427">
        <f t="shared" si="35"/>
        <v>1471</v>
      </c>
      <c r="F427" t="s">
        <v>723</v>
      </c>
    </row>
    <row r="428" spans="1:6" ht="15.6" x14ac:dyDescent="0.3">
      <c r="A428" s="270" t="s">
        <v>643</v>
      </c>
      <c r="B428" s="270" t="s">
        <v>697</v>
      </c>
      <c r="C428">
        <f t="shared" si="33"/>
        <v>66</v>
      </c>
      <c r="D428">
        <f t="shared" ca="1" si="34"/>
        <v>0</v>
      </c>
      <c r="E428">
        <f t="shared" si="35"/>
        <v>1563</v>
      </c>
      <c r="F428" t="s">
        <v>723</v>
      </c>
    </row>
    <row r="429" spans="1:6" ht="15.6" x14ac:dyDescent="0.3">
      <c r="A429" s="270" t="s">
        <v>630</v>
      </c>
      <c r="B429" s="270" t="s">
        <v>669</v>
      </c>
      <c r="C429">
        <f t="shared" si="33"/>
        <v>69</v>
      </c>
      <c r="D429">
        <f t="shared" ca="1" si="34"/>
        <v>1</v>
      </c>
      <c r="E429">
        <f t="shared" si="35"/>
        <v>1538</v>
      </c>
      <c r="F429" t="s">
        <v>723</v>
      </c>
    </row>
    <row r="430" spans="1:6" ht="15.6" x14ac:dyDescent="0.3">
      <c r="A430" s="270" t="s">
        <v>617</v>
      </c>
      <c r="B430" s="270" t="s">
        <v>568</v>
      </c>
      <c r="C430">
        <f t="shared" si="33"/>
        <v>67</v>
      </c>
      <c r="D430">
        <f t="shared" ca="1" si="34"/>
        <v>1</v>
      </c>
      <c r="E430">
        <f t="shared" si="35"/>
        <v>1513</v>
      </c>
      <c r="F430" t="s">
        <v>723</v>
      </c>
    </row>
    <row r="431" spans="1:6" ht="15.6" x14ac:dyDescent="0.3">
      <c r="A431" s="270" t="s">
        <v>664</v>
      </c>
      <c r="B431" s="270" t="s">
        <v>697</v>
      </c>
      <c r="C431">
        <f t="shared" si="33"/>
        <v>70</v>
      </c>
      <c r="D431">
        <f t="shared" ca="1" si="34"/>
        <v>0</v>
      </c>
      <c r="E431">
        <f t="shared" si="35"/>
        <v>1488</v>
      </c>
      <c r="F431" t="s">
        <v>723</v>
      </c>
    </row>
    <row r="432" spans="1:6" ht="15.6" x14ac:dyDescent="0.3">
      <c r="A432" s="270" t="s">
        <v>645</v>
      </c>
      <c r="B432" s="270" t="s">
        <v>668</v>
      </c>
      <c r="C432">
        <f t="shared" si="33"/>
        <v>72</v>
      </c>
      <c r="D432">
        <f t="shared" ca="1" si="34"/>
        <v>0</v>
      </c>
      <c r="E432">
        <f t="shared" si="35"/>
        <v>1580</v>
      </c>
      <c r="F432" t="s">
        <v>723</v>
      </c>
    </row>
    <row r="433" spans="1:6" ht="15.6" x14ac:dyDescent="0.3">
      <c r="A433" s="270" t="s">
        <v>629</v>
      </c>
      <c r="B433" s="270" t="s">
        <v>697</v>
      </c>
      <c r="C433">
        <f t="shared" si="33"/>
        <v>83</v>
      </c>
      <c r="D433">
        <f t="shared" ca="1" si="34"/>
        <v>0</v>
      </c>
      <c r="E433">
        <f t="shared" si="35"/>
        <v>1555</v>
      </c>
      <c r="F433" t="s">
        <v>723</v>
      </c>
    </row>
    <row r="434" spans="1:6" ht="15.6" x14ac:dyDescent="0.3">
      <c r="A434" s="270" t="s">
        <v>652</v>
      </c>
      <c r="B434" s="270" t="s">
        <v>689</v>
      </c>
      <c r="C434">
        <f t="shared" si="33"/>
        <v>71</v>
      </c>
      <c r="D434">
        <f t="shared" ca="1" si="34"/>
        <v>1</v>
      </c>
      <c r="E434">
        <f t="shared" si="35"/>
        <v>1530</v>
      </c>
      <c r="F434" t="s">
        <v>723</v>
      </c>
    </row>
    <row r="435" spans="1:6" ht="15.6" x14ac:dyDescent="0.3">
      <c r="A435" s="270" t="s">
        <v>621</v>
      </c>
      <c r="B435" s="270" t="s">
        <v>668</v>
      </c>
      <c r="C435">
        <f t="shared" si="33"/>
        <v>86</v>
      </c>
      <c r="D435">
        <f t="shared" ca="1" si="34"/>
        <v>1</v>
      </c>
      <c r="E435">
        <f t="shared" si="35"/>
        <v>1505</v>
      </c>
      <c r="F435" t="s">
        <v>723</v>
      </c>
    </row>
    <row r="436" spans="1:6" ht="15.6" x14ac:dyDescent="0.3">
      <c r="A436" s="270" t="s">
        <v>618</v>
      </c>
      <c r="B436" s="270" t="s">
        <v>684</v>
      </c>
      <c r="C436">
        <f t="shared" si="33"/>
        <v>72</v>
      </c>
      <c r="D436">
        <f t="shared" ca="1" si="34"/>
        <v>1</v>
      </c>
      <c r="E436">
        <f t="shared" si="35"/>
        <v>1597</v>
      </c>
      <c r="F436" t="s">
        <v>723</v>
      </c>
    </row>
    <row r="437" spans="1:6" ht="15.6" x14ac:dyDescent="0.3">
      <c r="A437" s="270" t="s">
        <v>633</v>
      </c>
      <c r="B437" s="270" t="s">
        <v>693</v>
      </c>
      <c r="C437">
        <f t="shared" si="33"/>
        <v>74</v>
      </c>
      <c r="D437">
        <f t="shared" ca="1" si="34"/>
        <v>0</v>
      </c>
      <c r="E437">
        <f t="shared" si="35"/>
        <v>1572</v>
      </c>
      <c r="F437" t="s">
        <v>723</v>
      </c>
    </row>
    <row r="438" spans="1:6" ht="15.6" x14ac:dyDescent="0.3">
      <c r="A438" s="270" t="s">
        <v>663</v>
      </c>
      <c r="B438" s="270" t="s">
        <v>668</v>
      </c>
      <c r="C438">
        <f t="shared" si="33"/>
        <v>85</v>
      </c>
      <c r="D438">
        <f t="shared" ca="1" si="34"/>
        <v>1</v>
      </c>
      <c r="E438">
        <f t="shared" si="35"/>
        <v>1547</v>
      </c>
      <c r="F438" t="s">
        <v>723</v>
      </c>
    </row>
    <row r="439" spans="1:6" ht="15.6" x14ac:dyDescent="0.3">
      <c r="A439" s="270" t="s">
        <v>656</v>
      </c>
      <c r="B439" s="270" t="s">
        <v>668</v>
      </c>
      <c r="C439">
        <f t="shared" si="33"/>
        <v>73</v>
      </c>
      <c r="D439">
        <f t="shared" ca="1" si="34"/>
        <v>1</v>
      </c>
      <c r="E439">
        <f t="shared" si="35"/>
        <v>1522</v>
      </c>
      <c r="F439" t="s">
        <v>723</v>
      </c>
    </row>
    <row r="440" spans="1:6" ht="15.6" x14ac:dyDescent="0.3">
      <c r="A440" s="270" t="s">
        <v>629</v>
      </c>
      <c r="B440" s="270" t="s">
        <v>700</v>
      </c>
      <c r="C440">
        <f t="shared" si="33"/>
        <v>88</v>
      </c>
      <c r="D440">
        <f t="shared" ca="1" si="34"/>
        <v>1</v>
      </c>
      <c r="E440">
        <f t="shared" si="35"/>
        <v>1614</v>
      </c>
      <c r="F440" t="s">
        <v>723</v>
      </c>
    </row>
    <row r="441" spans="1:6" ht="15.6" x14ac:dyDescent="0.3">
      <c r="A441" s="270" t="s">
        <v>622</v>
      </c>
      <c r="B441" s="270" t="s">
        <v>705</v>
      </c>
      <c r="C441">
        <f t="shared" si="33"/>
        <v>74</v>
      </c>
      <c r="D441">
        <f t="shared" ca="1" si="34"/>
        <v>0</v>
      </c>
      <c r="E441">
        <f t="shared" si="35"/>
        <v>1589</v>
      </c>
      <c r="F441" t="s">
        <v>723</v>
      </c>
    </row>
    <row r="442" spans="1:6" ht="15.6" x14ac:dyDescent="0.3">
      <c r="A442" s="270" t="s">
        <v>621</v>
      </c>
      <c r="B442" s="270" t="s">
        <v>687</v>
      </c>
      <c r="C442">
        <f t="shared" si="33"/>
        <v>80</v>
      </c>
      <c r="D442">
        <f t="shared" ca="1" si="34"/>
        <v>0</v>
      </c>
      <c r="E442">
        <f t="shared" si="35"/>
        <v>1564</v>
      </c>
      <c r="F442" t="s">
        <v>723</v>
      </c>
    </row>
    <row r="443" spans="1:6" ht="15.6" x14ac:dyDescent="0.3">
      <c r="A443" s="270" t="s">
        <v>618</v>
      </c>
      <c r="B443" s="270" t="s">
        <v>715</v>
      </c>
      <c r="C443">
        <f t="shared" si="33"/>
        <v>78</v>
      </c>
      <c r="D443">
        <f t="shared" ca="1" si="34"/>
        <v>1</v>
      </c>
      <c r="E443">
        <f t="shared" si="35"/>
        <v>1539</v>
      </c>
      <c r="F443" t="s">
        <v>723</v>
      </c>
    </row>
    <row r="444" spans="1:6" ht="15.6" x14ac:dyDescent="0.3">
      <c r="A444" s="270" t="s">
        <v>619</v>
      </c>
      <c r="B444" s="270" t="s">
        <v>669</v>
      </c>
      <c r="C444">
        <f t="shared" si="33"/>
        <v>89</v>
      </c>
      <c r="D444">
        <f t="shared" ca="1" si="34"/>
        <v>1</v>
      </c>
      <c r="E444">
        <f t="shared" si="35"/>
        <v>1631</v>
      </c>
      <c r="F444" t="s">
        <v>723</v>
      </c>
    </row>
    <row r="445" spans="1:6" ht="15.6" x14ac:dyDescent="0.3">
      <c r="A445" s="270" t="s">
        <v>638</v>
      </c>
      <c r="B445" s="270" t="s">
        <v>667</v>
      </c>
      <c r="C445">
        <f t="shared" ref="C445:C508" si="36">C246+4</f>
        <v>87</v>
      </c>
      <c r="D445">
        <f t="shared" ca="1" si="34"/>
        <v>1</v>
      </c>
      <c r="E445">
        <f t="shared" si="35"/>
        <v>1606</v>
      </c>
      <c r="F445" t="s">
        <v>723</v>
      </c>
    </row>
    <row r="446" spans="1:6" ht="15.6" x14ac:dyDescent="0.3">
      <c r="A446" s="270" t="s">
        <v>662</v>
      </c>
      <c r="B446" s="270" t="s">
        <v>695</v>
      </c>
      <c r="C446">
        <f t="shared" si="36"/>
        <v>80</v>
      </c>
      <c r="D446">
        <f t="shared" ca="1" si="34"/>
        <v>0</v>
      </c>
      <c r="E446">
        <f t="shared" si="35"/>
        <v>1581</v>
      </c>
      <c r="F446" t="s">
        <v>723</v>
      </c>
    </row>
    <row r="447" spans="1:6" ht="15.6" x14ac:dyDescent="0.3">
      <c r="A447" s="270" t="s">
        <v>652</v>
      </c>
      <c r="B447" s="270" t="s">
        <v>696</v>
      </c>
      <c r="C447">
        <f t="shared" si="36"/>
        <v>70</v>
      </c>
      <c r="D447">
        <f t="shared" ca="1" si="34"/>
        <v>1</v>
      </c>
      <c r="E447">
        <f t="shared" si="35"/>
        <v>1556</v>
      </c>
      <c r="F447" t="s">
        <v>723</v>
      </c>
    </row>
    <row r="448" spans="1:6" ht="15.6" x14ac:dyDescent="0.3">
      <c r="A448" s="270" t="s">
        <v>659</v>
      </c>
      <c r="B448" s="270" t="s">
        <v>680</v>
      </c>
      <c r="C448">
        <f t="shared" si="36"/>
        <v>73</v>
      </c>
      <c r="D448">
        <f t="shared" ca="1" si="34"/>
        <v>0</v>
      </c>
      <c r="E448">
        <f t="shared" si="35"/>
        <v>1648</v>
      </c>
      <c r="F448" t="s">
        <v>723</v>
      </c>
    </row>
    <row r="449" spans="1:6" ht="15.6" x14ac:dyDescent="0.3">
      <c r="A449" s="270" t="s">
        <v>621</v>
      </c>
      <c r="B449" s="270" t="s">
        <v>707</v>
      </c>
      <c r="C449">
        <f t="shared" si="36"/>
        <v>75</v>
      </c>
      <c r="D449">
        <f t="shared" ca="1" si="34"/>
        <v>1</v>
      </c>
      <c r="E449">
        <f t="shared" si="35"/>
        <v>1623</v>
      </c>
      <c r="F449" t="s">
        <v>723</v>
      </c>
    </row>
    <row r="450" spans="1:6" ht="15.6" x14ac:dyDescent="0.3">
      <c r="A450" s="270" t="s">
        <v>646</v>
      </c>
      <c r="B450" s="270" t="s">
        <v>673</v>
      </c>
      <c r="C450">
        <f t="shared" si="36"/>
        <v>75</v>
      </c>
      <c r="D450">
        <f t="shared" ca="1" si="34"/>
        <v>1</v>
      </c>
      <c r="E450">
        <f t="shared" si="35"/>
        <v>1598</v>
      </c>
      <c r="F450" t="s">
        <v>723</v>
      </c>
    </row>
    <row r="451" spans="1:6" ht="15.6" x14ac:dyDescent="0.3">
      <c r="A451" s="270" t="s">
        <v>638</v>
      </c>
      <c r="B451" s="270" t="s">
        <v>697</v>
      </c>
      <c r="C451">
        <f t="shared" si="36"/>
        <v>71</v>
      </c>
      <c r="D451">
        <f t="shared" ref="D451:D514" ca="1" si="37">RANDBETWEEN(0,1)</f>
        <v>0</v>
      </c>
      <c r="E451">
        <f t="shared" si="35"/>
        <v>1573</v>
      </c>
      <c r="F451" t="s">
        <v>723</v>
      </c>
    </row>
    <row r="452" spans="1:6" ht="15.6" x14ac:dyDescent="0.3">
      <c r="A452" s="270" t="s">
        <v>627</v>
      </c>
      <c r="B452" s="270" t="s">
        <v>673</v>
      </c>
      <c r="C452">
        <f t="shared" si="36"/>
        <v>74</v>
      </c>
      <c r="D452">
        <f t="shared" ca="1" si="37"/>
        <v>1</v>
      </c>
      <c r="E452">
        <f t="shared" si="35"/>
        <v>1665</v>
      </c>
      <c r="F452" t="s">
        <v>723</v>
      </c>
    </row>
    <row r="453" spans="1:6" ht="15.6" x14ac:dyDescent="0.3">
      <c r="A453" s="270" t="s">
        <v>628</v>
      </c>
      <c r="B453" s="270" t="s">
        <v>708</v>
      </c>
      <c r="C453">
        <f t="shared" si="36"/>
        <v>72</v>
      </c>
      <c r="D453">
        <f t="shared" ca="1" si="37"/>
        <v>0</v>
      </c>
      <c r="E453">
        <f t="shared" si="35"/>
        <v>1640</v>
      </c>
      <c r="F453" t="s">
        <v>723</v>
      </c>
    </row>
    <row r="454" spans="1:6" ht="15.6" x14ac:dyDescent="0.3">
      <c r="A454" s="270" t="s">
        <v>618</v>
      </c>
      <c r="B454" s="270" t="s">
        <v>675</v>
      </c>
      <c r="C454">
        <f t="shared" si="36"/>
        <v>75</v>
      </c>
      <c r="D454">
        <f t="shared" ca="1" si="37"/>
        <v>1</v>
      </c>
      <c r="E454">
        <f t="shared" si="35"/>
        <v>1615</v>
      </c>
      <c r="F454" t="s">
        <v>723</v>
      </c>
    </row>
    <row r="455" spans="1:6" ht="15.6" x14ac:dyDescent="0.3">
      <c r="A455" s="270" t="s">
        <v>638</v>
      </c>
      <c r="B455" s="270" t="s">
        <v>690</v>
      </c>
      <c r="C455">
        <f t="shared" si="36"/>
        <v>77</v>
      </c>
      <c r="D455">
        <f t="shared" ca="1" si="37"/>
        <v>1</v>
      </c>
      <c r="E455">
        <f t="shared" si="35"/>
        <v>1590</v>
      </c>
      <c r="F455" t="s">
        <v>723</v>
      </c>
    </row>
    <row r="456" spans="1:6" ht="15.6" x14ac:dyDescent="0.3">
      <c r="A456" s="270" t="s">
        <v>628</v>
      </c>
      <c r="B456" s="270" t="s">
        <v>685</v>
      </c>
      <c r="C456">
        <f t="shared" si="36"/>
        <v>88</v>
      </c>
      <c r="D456">
        <f t="shared" ca="1" si="37"/>
        <v>0</v>
      </c>
      <c r="E456">
        <f t="shared" si="35"/>
        <v>1682</v>
      </c>
      <c r="F456" t="s">
        <v>723</v>
      </c>
    </row>
    <row r="457" spans="1:6" ht="15.6" x14ac:dyDescent="0.3">
      <c r="A457" s="270" t="s">
        <v>639</v>
      </c>
      <c r="B457" s="270" t="s">
        <v>568</v>
      </c>
      <c r="C457">
        <f t="shared" si="36"/>
        <v>76</v>
      </c>
      <c r="D457">
        <f t="shared" ca="1" si="37"/>
        <v>0</v>
      </c>
      <c r="E457">
        <f t="shared" si="35"/>
        <v>1657</v>
      </c>
      <c r="F457" t="s">
        <v>723</v>
      </c>
    </row>
    <row r="458" spans="1:6" ht="15.6" x14ac:dyDescent="0.3">
      <c r="A458" s="270" t="s">
        <v>647</v>
      </c>
      <c r="B458" s="270" t="s">
        <v>698</v>
      </c>
      <c r="C458">
        <f t="shared" si="36"/>
        <v>91</v>
      </c>
      <c r="D458">
        <f t="shared" ca="1" si="37"/>
        <v>0</v>
      </c>
      <c r="E458">
        <f t="shared" si="35"/>
        <v>1632</v>
      </c>
      <c r="F458" t="s">
        <v>723</v>
      </c>
    </row>
    <row r="459" spans="1:6" ht="15.6" x14ac:dyDescent="0.3">
      <c r="A459" s="270" t="s">
        <v>654</v>
      </c>
      <c r="B459" s="270" t="s">
        <v>671</v>
      </c>
      <c r="C459">
        <f t="shared" si="36"/>
        <v>77</v>
      </c>
      <c r="D459">
        <f t="shared" ca="1" si="37"/>
        <v>0</v>
      </c>
      <c r="E459">
        <f t="shared" si="35"/>
        <v>1607</v>
      </c>
      <c r="F459" t="s">
        <v>723</v>
      </c>
    </row>
    <row r="460" spans="1:6" ht="15.6" x14ac:dyDescent="0.3">
      <c r="A460" s="270" t="s">
        <v>662</v>
      </c>
      <c r="B460" s="270" t="s">
        <v>692</v>
      </c>
      <c r="C460">
        <f t="shared" si="36"/>
        <v>79</v>
      </c>
      <c r="D460">
        <f t="shared" ca="1" si="37"/>
        <v>1</v>
      </c>
      <c r="E460">
        <f t="shared" si="35"/>
        <v>1699</v>
      </c>
      <c r="F460" t="s">
        <v>723</v>
      </c>
    </row>
    <row r="461" spans="1:6" ht="15.6" x14ac:dyDescent="0.3">
      <c r="A461" s="270" t="s">
        <v>628</v>
      </c>
      <c r="B461" s="270" t="s">
        <v>688</v>
      </c>
      <c r="C461">
        <f t="shared" si="36"/>
        <v>90</v>
      </c>
      <c r="D461">
        <f t="shared" ca="1" si="37"/>
        <v>1</v>
      </c>
      <c r="E461">
        <f t="shared" si="35"/>
        <v>1674</v>
      </c>
      <c r="F461" t="s">
        <v>723</v>
      </c>
    </row>
    <row r="462" spans="1:6" ht="15.6" x14ac:dyDescent="0.3">
      <c r="A462" s="270" t="s">
        <v>621</v>
      </c>
      <c r="B462" s="270" t="s">
        <v>672</v>
      </c>
      <c r="C462">
        <f t="shared" si="36"/>
        <v>78</v>
      </c>
      <c r="D462">
        <f t="shared" ca="1" si="37"/>
        <v>1</v>
      </c>
      <c r="E462">
        <f t="shared" si="35"/>
        <v>1649</v>
      </c>
      <c r="F462" t="s">
        <v>723</v>
      </c>
    </row>
    <row r="463" spans="1:6" ht="15.6" x14ac:dyDescent="0.3">
      <c r="A463" s="270" t="s">
        <v>650</v>
      </c>
      <c r="B463" s="270" t="s">
        <v>673</v>
      </c>
      <c r="C463">
        <f t="shared" si="36"/>
        <v>93</v>
      </c>
      <c r="D463">
        <f t="shared" ca="1" si="37"/>
        <v>0</v>
      </c>
      <c r="E463">
        <f t="shared" si="35"/>
        <v>1624</v>
      </c>
      <c r="F463" t="s">
        <v>723</v>
      </c>
    </row>
    <row r="464" spans="1:6" ht="15.6" x14ac:dyDescent="0.3">
      <c r="A464" s="270" t="s">
        <v>628</v>
      </c>
      <c r="B464" s="270" t="s">
        <v>701</v>
      </c>
      <c r="C464">
        <f t="shared" si="36"/>
        <v>79</v>
      </c>
      <c r="D464">
        <f t="shared" ca="1" si="37"/>
        <v>1</v>
      </c>
      <c r="E464">
        <f t="shared" si="35"/>
        <v>1716</v>
      </c>
      <c r="F464" t="s">
        <v>723</v>
      </c>
    </row>
    <row r="465" spans="1:6" ht="15.6" x14ac:dyDescent="0.3">
      <c r="A465" s="270" t="s">
        <v>664</v>
      </c>
      <c r="B465" s="270" t="s">
        <v>671</v>
      </c>
      <c r="C465">
        <f t="shared" si="36"/>
        <v>85</v>
      </c>
      <c r="D465">
        <f t="shared" ca="1" si="37"/>
        <v>1</v>
      </c>
      <c r="E465">
        <f t="shared" si="35"/>
        <v>1691</v>
      </c>
      <c r="F465" t="s">
        <v>723</v>
      </c>
    </row>
    <row r="466" spans="1:6" ht="15.6" x14ac:dyDescent="0.3">
      <c r="A466" s="270" t="s">
        <v>663</v>
      </c>
      <c r="B466" s="270" t="s">
        <v>690</v>
      </c>
      <c r="C466">
        <f t="shared" si="36"/>
        <v>83</v>
      </c>
      <c r="D466">
        <f t="shared" ca="1" si="37"/>
        <v>0</v>
      </c>
      <c r="E466">
        <f t="shared" si="35"/>
        <v>1666</v>
      </c>
      <c r="F466" t="s">
        <v>723</v>
      </c>
    </row>
    <row r="467" spans="1:6" ht="15.6" x14ac:dyDescent="0.3">
      <c r="A467" s="270" t="s">
        <v>664</v>
      </c>
      <c r="B467" s="270" t="s">
        <v>708</v>
      </c>
      <c r="C467">
        <f t="shared" si="36"/>
        <v>94</v>
      </c>
      <c r="D467">
        <f t="shared" ca="1" si="37"/>
        <v>0</v>
      </c>
      <c r="E467">
        <f t="shared" si="35"/>
        <v>1641</v>
      </c>
      <c r="F467" t="s">
        <v>723</v>
      </c>
    </row>
    <row r="468" spans="1:6" ht="15.6" x14ac:dyDescent="0.3">
      <c r="A468" s="270" t="s">
        <v>628</v>
      </c>
      <c r="B468" s="270" t="s">
        <v>683</v>
      </c>
      <c r="C468">
        <f t="shared" si="36"/>
        <v>92</v>
      </c>
      <c r="D468">
        <f t="shared" ca="1" si="37"/>
        <v>0</v>
      </c>
      <c r="E468">
        <f t="shared" si="35"/>
        <v>1733</v>
      </c>
      <c r="F468" t="s">
        <v>723</v>
      </c>
    </row>
    <row r="469" spans="1:6" ht="15.6" x14ac:dyDescent="0.3">
      <c r="A469" s="270" t="s">
        <v>649</v>
      </c>
      <c r="B469" s="270" t="s">
        <v>667</v>
      </c>
      <c r="C469">
        <f t="shared" si="36"/>
        <v>85</v>
      </c>
      <c r="D469">
        <f t="shared" ca="1" si="37"/>
        <v>1</v>
      </c>
      <c r="E469">
        <f t="shared" si="35"/>
        <v>1708</v>
      </c>
      <c r="F469" t="s">
        <v>723</v>
      </c>
    </row>
    <row r="470" spans="1:6" ht="15.6" x14ac:dyDescent="0.3">
      <c r="A470" s="270" t="s">
        <v>660</v>
      </c>
      <c r="B470" s="270" t="s">
        <v>680</v>
      </c>
      <c r="C470">
        <f t="shared" si="36"/>
        <v>75</v>
      </c>
      <c r="D470">
        <f t="shared" ca="1" si="37"/>
        <v>1</v>
      </c>
      <c r="E470">
        <f t="shared" si="35"/>
        <v>1683</v>
      </c>
      <c r="F470" t="s">
        <v>723</v>
      </c>
    </row>
    <row r="471" spans="1:6" ht="15.6" x14ac:dyDescent="0.3">
      <c r="A471" s="270" t="s">
        <v>622</v>
      </c>
      <c r="B471" s="270" t="s">
        <v>698</v>
      </c>
      <c r="C471">
        <f t="shared" si="36"/>
        <v>78</v>
      </c>
      <c r="D471">
        <f t="shared" ca="1" si="37"/>
        <v>1</v>
      </c>
      <c r="E471">
        <f t="shared" si="35"/>
        <v>1658</v>
      </c>
      <c r="F471" t="s">
        <v>723</v>
      </c>
    </row>
    <row r="472" spans="1:6" ht="15.6" x14ac:dyDescent="0.3">
      <c r="A472" s="270" t="s">
        <v>637</v>
      </c>
      <c r="B472" s="270" t="s">
        <v>670</v>
      </c>
      <c r="C472">
        <f t="shared" si="36"/>
        <v>80</v>
      </c>
      <c r="D472">
        <f t="shared" ca="1" si="37"/>
        <v>0</v>
      </c>
      <c r="E472">
        <f t="shared" si="35"/>
        <v>1750</v>
      </c>
      <c r="F472" t="s">
        <v>723</v>
      </c>
    </row>
    <row r="473" spans="1:6" ht="15.6" x14ac:dyDescent="0.3">
      <c r="A473" s="270" t="s">
        <v>645</v>
      </c>
      <c r="B473" s="270" t="s">
        <v>710</v>
      </c>
      <c r="C473">
        <f t="shared" si="36"/>
        <v>76</v>
      </c>
      <c r="D473">
        <f t="shared" ca="1" si="37"/>
        <v>0</v>
      </c>
      <c r="E473">
        <f t="shared" si="35"/>
        <v>1725</v>
      </c>
      <c r="F473" t="s">
        <v>723</v>
      </c>
    </row>
    <row r="474" spans="1:6" ht="15.6" x14ac:dyDescent="0.3">
      <c r="A474" s="270" t="s">
        <v>625</v>
      </c>
      <c r="B474" s="270" t="s">
        <v>710</v>
      </c>
      <c r="C474">
        <f t="shared" si="36"/>
        <v>79</v>
      </c>
      <c r="D474">
        <f t="shared" ca="1" si="37"/>
        <v>0</v>
      </c>
      <c r="E474">
        <f t="shared" si="35"/>
        <v>1700</v>
      </c>
      <c r="F474" t="s">
        <v>723</v>
      </c>
    </row>
    <row r="475" spans="1:6" ht="15.6" x14ac:dyDescent="0.3">
      <c r="A475" s="270" t="s">
        <v>621</v>
      </c>
      <c r="B475" s="270" t="s">
        <v>683</v>
      </c>
      <c r="C475">
        <f t="shared" si="36"/>
        <v>77</v>
      </c>
      <c r="D475">
        <f t="shared" ca="1" si="37"/>
        <v>0</v>
      </c>
      <c r="E475">
        <f t="shared" si="35"/>
        <v>1675</v>
      </c>
      <c r="F475" t="s">
        <v>723</v>
      </c>
    </row>
    <row r="476" spans="1:6" ht="15.6" x14ac:dyDescent="0.3">
      <c r="A476" s="270" t="s">
        <v>641</v>
      </c>
      <c r="B476" s="270" t="s">
        <v>695</v>
      </c>
      <c r="C476">
        <f t="shared" si="36"/>
        <v>80</v>
      </c>
      <c r="D476">
        <f t="shared" ca="1" si="37"/>
        <v>0</v>
      </c>
      <c r="E476">
        <f t="shared" si="35"/>
        <v>1767</v>
      </c>
      <c r="F476" t="s">
        <v>723</v>
      </c>
    </row>
    <row r="477" spans="1:6" ht="15.6" x14ac:dyDescent="0.3">
      <c r="A477" s="270" t="s">
        <v>649</v>
      </c>
      <c r="B477" s="270" t="s">
        <v>715</v>
      </c>
      <c r="C477">
        <f t="shared" si="36"/>
        <v>82</v>
      </c>
      <c r="D477">
        <f t="shared" ca="1" si="37"/>
        <v>1</v>
      </c>
      <c r="E477">
        <f t="shared" si="35"/>
        <v>1742</v>
      </c>
      <c r="F477" t="s">
        <v>723</v>
      </c>
    </row>
    <row r="478" spans="1:6" ht="15.6" x14ac:dyDescent="0.3">
      <c r="A478" s="270" t="s">
        <v>650</v>
      </c>
      <c r="B478" s="270" t="s">
        <v>687</v>
      </c>
      <c r="C478">
        <f t="shared" si="36"/>
        <v>93</v>
      </c>
      <c r="D478">
        <f t="shared" ca="1" si="37"/>
        <v>0</v>
      </c>
      <c r="E478">
        <f t="shared" si="35"/>
        <v>1717</v>
      </c>
      <c r="F478" t="s">
        <v>723</v>
      </c>
    </row>
    <row r="479" spans="1:6" ht="15.6" x14ac:dyDescent="0.3">
      <c r="A479" s="270" t="s">
        <v>656</v>
      </c>
      <c r="B479" s="270" t="s">
        <v>676</v>
      </c>
      <c r="C479">
        <f t="shared" si="36"/>
        <v>81</v>
      </c>
      <c r="D479">
        <f t="shared" ca="1" si="37"/>
        <v>0</v>
      </c>
      <c r="E479">
        <f t="shared" si="35"/>
        <v>1692</v>
      </c>
      <c r="F479" t="s">
        <v>723</v>
      </c>
    </row>
    <row r="480" spans="1:6" ht="15.6" x14ac:dyDescent="0.3">
      <c r="A480" s="270" t="s">
        <v>648</v>
      </c>
      <c r="B480" s="270" t="s">
        <v>698</v>
      </c>
      <c r="C480">
        <f t="shared" si="36"/>
        <v>96</v>
      </c>
      <c r="D480">
        <f t="shared" ca="1" si="37"/>
        <v>0</v>
      </c>
      <c r="E480">
        <f t="shared" si="35"/>
        <v>1784</v>
      </c>
      <c r="F480" t="s">
        <v>723</v>
      </c>
    </row>
    <row r="481" spans="1:6" ht="15.6" x14ac:dyDescent="0.3">
      <c r="A481" s="270" t="s">
        <v>657</v>
      </c>
      <c r="B481" s="270" t="s">
        <v>703</v>
      </c>
      <c r="C481">
        <f t="shared" si="36"/>
        <v>82</v>
      </c>
      <c r="D481">
        <f t="shared" ca="1" si="37"/>
        <v>1</v>
      </c>
      <c r="E481">
        <f t="shared" ref="E481:E544" si="38">E477+17</f>
        <v>1759</v>
      </c>
      <c r="F481" t="s">
        <v>723</v>
      </c>
    </row>
    <row r="482" spans="1:6" ht="15.6" x14ac:dyDescent="0.3">
      <c r="A482" s="270" t="s">
        <v>620</v>
      </c>
      <c r="B482" s="270" t="s">
        <v>678</v>
      </c>
      <c r="C482">
        <f t="shared" si="36"/>
        <v>82</v>
      </c>
      <c r="D482">
        <f t="shared" ca="1" si="37"/>
        <v>0</v>
      </c>
      <c r="E482">
        <f t="shared" si="38"/>
        <v>1734</v>
      </c>
      <c r="F482" t="s">
        <v>723</v>
      </c>
    </row>
    <row r="483" spans="1:6" ht="15.6" x14ac:dyDescent="0.3">
      <c r="A483" s="270" t="s">
        <v>619</v>
      </c>
      <c r="B483" s="270" t="s">
        <v>691</v>
      </c>
      <c r="C483">
        <f t="shared" si="36"/>
        <v>84</v>
      </c>
      <c r="D483">
        <f t="shared" ca="1" si="37"/>
        <v>0</v>
      </c>
      <c r="E483">
        <f t="shared" si="38"/>
        <v>1709</v>
      </c>
      <c r="F483" t="s">
        <v>723</v>
      </c>
    </row>
    <row r="484" spans="1:6" ht="15.6" x14ac:dyDescent="0.3">
      <c r="A484" s="270" t="s">
        <v>665</v>
      </c>
      <c r="B484" s="270" t="s">
        <v>708</v>
      </c>
      <c r="C484">
        <f t="shared" si="36"/>
        <v>95</v>
      </c>
      <c r="D484">
        <f t="shared" ca="1" si="37"/>
        <v>1</v>
      </c>
      <c r="E484">
        <f t="shared" si="38"/>
        <v>1801</v>
      </c>
      <c r="F484" t="s">
        <v>723</v>
      </c>
    </row>
    <row r="485" spans="1:6" ht="15.6" x14ac:dyDescent="0.3">
      <c r="A485" s="270" t="s">
        <v>620</v>
      </c>
      <c r="B485" s="270" t="s">
        <v>715</v>
      </c>
      <c r="C485">
        <f t="shared" si="36"/>
        <v>83</v>
      </c>
      <c r="D485">
        <f t="shared" ca="1" si="37"/>
        <v>1</v>
      </c>
      <c r="E485">
        <f t="shared" si="38"/>
        <v>1776</v>
      </c>
      <c r="F485" t="s">
        <v>723</v>
      </c>
    </row>
    <row r="486" spans="1:6" ht="15.6" x14ac:dyDescent="0.3">
      <c r="A486" s="270" t="s">
        <v>636</v>
      </c>
      <c r="B486" s="270" t="s">
        <v>673</v>
      </c>
      <c r="C486">
        <f t="shared" si="36"/>
        <v>98</v>
      </c>
      <c r="D486">
        <f t="shared" ca="1" si="37"/>
        <v>0</v>
      </c>
      <c r="E486">
        <f t="shared" si="38"/>
        <v>1751</v>
      </c>
      <c r="F486" t="s">
        <v>723</v>
      </c>
    </row>
    <row r="487" spans="1:6" ht="15.6" x14ac:dyDescent="0.3">
      <c r="A487" s="270" t="s">
        <v>629</v>
      </c>
      <c r="B487" s="270" t="s">
        <v>695</v>
      </c>
      <c r="C487">
        <f t="shared" si="36"/>
        <v>84</v>
      </c>
      <c r="D487">
        <f t="shared" ca="1" si="37"/>
        <v>0</v>
      </c>
      <c r="E487">
        <f t="shared" si="38"/>
        <v>1726</v>
      </c>
      <c r="F487" t="s">
        <v>723</v>
      </c>
    </row>
    <row r="488" spans="1:6" ht="15.6" x14ac:dyDescent="0.3">
      <c r="A488" s="270" t="s">
        <v>637</v>
      </c>
      <c r="B488" s="270" t="s">
        <v>697</v>
      </c>
      <c r="C488">
        <f t="shared" si="36"/>
        <v>90</v>
      </c>
      <c r="D488">
        <f t="shared" ca="1" si="37"/>
        <v>0</v>
      </c>
      <c r="E488">
        <f t="shared" si="38"/>
        <v>1818</v>
      </c>
      <c r="F488" t="s">
        <v>723</v>
      </c>
    </row>
    <row r="489" spans="1:6" ht="15.6" x14ac:dyDescent="0.3">
      <c r="A489" s="270" t="s">
        <v>622</v>
      </c>
      <c r="B489" s="270" t="s">
        <v>667</v>
      </c>
      <c r="C489">
        <f t="shared" si="36"/>
        <v>88</v>
      </c>
      <c r="D489">
        <f t="shared" ca="1" si="37"/>
        <v>1</v>
      </c>
      <c r="E489">
        <f t="shared" si="38"/>
        <v>1793</v>
      </c>
      <c r="F489" t="s">
        <v>723</v>
      </c>
    </row>
    <row r="490" spans="1:6" ht="15.6" x14ac:dyDescent="0.3">
      <c r="A490" s="270" t="s">
        <v>657</v>
      </c>
      <c r="B490" s="270" t="s">
        <v>674</v>
      </c>
      <c r="C490">
        <f t="shared" si="36"/>
        <v>99</v>
      </c>
      <c r="D490">
        <f t="shared" ca="1" si="37"/>
        <v>0</v>
      </c>
      <c r="E490">
        <f t="shared" si="38"/>
        <v>1768</v>
      </c>
      <c r="F490" t="s">
        <v>723</v>
      </c>
    </row>
    <row r="491" spans="1:6" ht="15.6" x14ac:dyDescent="0.3">
      <c r="A491" s="270" t="s">
        <v>660</v>
      </c>
      <c r="B491" s="270" t="s">
        <v>708</v>
      </c>
      <c r="C491">
        <f t="shared" si="36"/>
        <v>97</v>
      </c>
      <c r="D491">
        <f t="shared" ca="1" si="37"/>
        <v>0</v>
      </c>
      <c r="E491">
        <f t="shared" si="38"/>
        <v>1743</v>
      </c>
      <c r="F491" t="s">
        <v>723</v>
      </c>
    </row>
    <row r="492" spans="1:6" ht="15.6" x14ac:dyDescent="0.3">
      <c r="A492" s="270" t="s">
        <v>661</v>
      </c>
      <c r="B492" s="270" t="s">
        <v>711</v>
      </c>
      <c r="C492">
        <f t="shared" si="36"/>
        <v>90</v>
      </c>
      <c r="D492">
        <f t="shared" ca="1" si="37"/>
        <v>0</v>
      </c>
      <c r="E492">
        <f t="shared" si="38"/>
        <v>1835</v>
      </c>
      <c r="F492" t="s">
        <v>723</v>
      </c>
    </row>
    <row r="493" spans="1:6" ht="15.6" x14ac:dyDescent="0.3">
      <c r="A493" s="270" t="s">
        <v>627</v>
      </c>
      <c r="B493" s="270" t="s">
        <v>670</v>
      </c>
      <c r="C493">
        <f t="shared" si="36"/>
        <v>80</v>
      </c>
      <c r="D493">
        <f t="shared" ca="1" si="37"/>
        <v>0</v>
      </c>
      <c r="E493">
        <f t="shared" si="38"/>
        <v>1810</v>
      </c>
      <c r="F493" t="s">
        <v>723</v>
      </c>
    </row>
    <row r="494" spans="1:6" ht="15.6" x14ac:dyDescent="0.3">
      <c r="A494" s="270" t="s">
        <v>660</v>
      </c>
      <c r="B494" s="270" t="s">
        <v>694</v>
      </c>
      <c r="C494">
        <f t="shared" si="36"/>
        <v>83</v>
      </c>
      <c r="D494">
        <f t="shared" ca="1" si="37"/>
        <v>0</v>
      </c>
      <c r="E494">
        <f t="shared" si="38"/>
        <v>1785</v>
      </c>
      <c r="F494" t="s">
        <v>723</v>
      </c>
    </row>
    <row r="495" spans="1:6" ht="15.6" x14ac:dyDescent="0.3">
      <c r="A495" s="270" t="s">
        <v>642</v>
      </c>
      <c r="B495" s="270" t="s">
        <v>686</v>
      </c>
      <c r="C495">
        <f t="shared" si="36"/>
        <v>85</v>
      </c>
      <c r="D495">
        <f t="shared" ca="1" si="37"/>
        <v>1</v>
      </c>
      <c r="E495">
        <f t="shared" si="38"/>
        <v>1760</v>
      </c>
      <c r="F495" t="s">
        <v>723</v>
      </c>
    </row>
    <row r="496" spans="1:6" ht="15.6" x14ac:dyDescent="0.3">
      <c r="A496" s="270" t="s">
        <v>648</v>
      </c>
      <c r="B496" s="270" t="s">
        <v>694</v>
      </c>
      <c r="C496">
        <f t="shared" si="36"/>
        <v>81</v>
      </c>
      <c r="D496">
        <f t="shared" ca="1" si="37"/>
        <v>0</v>
      </c>
      <c r="E496">
        <f t="shared" si="38"/>
        <v>1852</v>
      </c>
      <c r="F496" t="s">
        <v>723</v>
      </c>
    </row>
    <row r="497" spans="1:6" ht="15.6" x14ac:dyDescent="0.3">
      <c r="A497" s="270" t="s">
        <v>635</v>
      </c>
      <c r="B497" s="270" t="s">
        <v>669</v>
      </c>
      <c r="C497">
        <f t="shared" si="36"/>
        <v>84</v>
      </c>
      <c r="D497">
        <f t="shared" ca="1" si="37"/>
        <v>0</v>
      </c>
      <c r="E497">
        <f t="shared" si="38"/>
        <v>1827</v>
      </c>
      <c r="F497" t="s">
        <v>723</v>
      </c>
    </row>
    <row r="498" spans="1:6" ht="15.6" x14ac:dyDescent="0.3">
      <c r="A498" s="270" t="s">
        <v>621</v>
      </c>
      <c r="B498" s="270" t="s">
        <v>703</v>
      </c>
      <c r="C498">
        <f t="shared" si="36"/>
        <v>82</v>
      </c>
      <c r="D498">
        <f t="shared" ca="1" si="37"/>
        <v>0</v>
      </c>
      <c r="E498">
        <f t="shared" si="38"/>
        <v>1802</v>
      </c>
      <c r="F498" t="s">
        <v>723</v>
      </c>
    </row>
    <row r="499" spans="1:6" ht="15.6" x14ac:dyDescent="0.3">
      <c r="A499" s="270" t="s">
        <v>646</v>
      </c>
      <c r="B499" s="270" t="s">
        <v>693</v>
      </c>
      <c r="C499">
        <f t="shared" si="36"/>
        <v>85</v>
      </c>
      <c r="D499">
        <f t="shared" ca="1" si="37"/>
        <v>0</v>
      </c>
      <c r="E499">
        <f t="shared" si="38"/>
        <v>1777</v>
      </c>
      <c r="F499" t="s">
        <v>723</v>
      </c>
    </row>
    <row r="500" spans="1:6" ht="15.6" x14ac:dyDescent="0.3">
      <c r="A500" s="270" t="s">
        <v>652</v>
      </c>
      <c r="B500" s="270" t="s">
        <v>668</v>
      </c>
      <c r="C500">
        <f t="shared" si="36"/>
        <v>87</v>
      </c>
      <c r="D500">
        <f t="shared" ca="1" si="37"/>
        <v>1</v>
      </c>
      <c r="E500">
        <f t="shared" si="38"/>
        <v>1869</v>
      </c>
      <c r="F500" t="s">
        <v>723</v>
      </c>
    </row>
    <row r="501" spans="1:6" ht="15.6" x14ac:dyDescent="0.3">
      <c r="A501" s="270" t="s">
        <v>621</v>
      </c>
      <c r="B501" s="270" t="s">
        <v>708</v>
      </c>
      <c r="C501">
        <f t="shared" si="36"/>
        <v>98</v>
      </c>
      <c r="D501">
        <f t="shared" ca="1" si="37"/>
        <v>0</v>
      </c>
      <c r="E501">
        <f t="shared" si="38"/>
        <v>1844</v>
      </c>
      <c r="F501" t="s">
        <v>723</v>
      </c>
    </row>
    <row r="502" spans="1:6" ht="15.6" x14ac:dyDescent="0.3">
      <c r="A502" s="270" t="s">
        <v>619</v>
      </c>
      <c r="B502" s="270" t="s">
        <v>679</v>
      </c>
      <c r="C502">
        <f t="shared" si="36"/>
        <v>86</v>
      </c>
      <c r="D502">
        <f t="shared" ca="1" si="37"/>
        <v>1</v>
      </c>
      <c r="E502">
        <f t="shared" si="38"/>
        <v>1819</v>
      </c>
      <c r="F502" t="s">
        <v>723</v>
      </c>
    </row>
    <row r="503" spans="1:6" ht="15.6" x14ac:dyDescent="0.3">
      <c r="A503" s="270" t="s">
        <v>633</v>
      </c>
      <c r="B503" s="270" t="s">
        <v>700</v>
      </c>
      <c r="C503">
        <f t="shared" si="36"/>
        <v>101</v>
      </c>
      <c r="D503">
        <f t="shared" ca="1" si="37"/>
        <v>1</v>
      </c>
      <c r="E503">
        <f t="shared" si="38"/>
        <v>1794</v>
      </c>
      <c r="F503" t="s">
        <v>723</v>
      </c>
    </row>
    <row r="504" spans="1:6" ht="15.6" x14ac:dyDescent="0.3">
      <c r="A504" s="270" t="s">
        <v>640</v>
      </c>
      <c r="B504" s="270" t="s">
        <v>675</v>
      </c>
      <c r="C504">
        <f t="shared" si="36"/>
        <v>87</v>
      </c>
      <c r="D504">
        <f t="shared" ca="1" si="37"/>
        <v>1</v>
      </c>
      <c r="E504">
        <f t="shared" si="38"/>
        <v>1886</v>
      </c>
      <c r="F504" t="s">
        <v>723</v>
      </c>
    </row>
    <row r="505" spans="1:6" ht="15.6" x14ac:dyDescent="0.3">
      <c r="A505" s="270" t="s">
        <v>646</v>
      </c>
      <c r="B505" s="270" t="s">
        <v>688</v>
      </c>
      <c r="C505">
        <f t="shared" si="36"/>
        <v>89</v>
      </c>
      <c r="D505">
        <f t="shared" ca="1" si="37"/>
        <v>1</v>
      </c>
      <c r="E505">
        <f t="shared" si="38"/>
        <v>1861</v>
      </c>
      <c r="F505" t="s">
        <v>723</v>
      </c>
    </row>
    <row r="506" spans="1:6" ht="15.6" x14ac:dyDescent="0.3">
      <c r="A506" s="270" t="s">
        <v>651</v>
      </c>
      <c r="B506" s="270" t="s">
        <v>711</v>
      </c>
      <c r="C506">
        <f t="shared" si="36"/>
        <v>100</v>
      </c>
      <c r="D506">
        <f t="shared" ca="1" si="37"/>
        <v>0</v>
      </c>
      <c r="E506">
        <f t="shared" si="38"/>
        <v>1836</v>
      </c>
      <c r="F506" t="s">
        <v>723</v>
      </c>
    </row>
    <row r="507" spans="1:6" ht="15.6" x14ac:dyDescent="0.3">
      <c r="A507" s="270" t="s">
        <v>643</v>
      </c>
      <c r="B507" s="270" t="s">
        <v>705</v>
      </c>
      <c r="C507">
        <f t="shared" si="36"/>
        <v>88</v>
      </c>
      <c r="D507">
        <f t="shared" ca="1" si="37"/>
        <v>1</v>
      </c>
      <c r="E507">
        <f t="shared" si="38"/>
        <v>1811</v>
      </c>
      <c r="F507" t="s">
        <v>723</v>
      </c>
    </row>
    <row r="508" spans="1:6" ht="15.6" x14ac:dyDescent="0.3">
      <c r="A508" s="270" t="s">
        <v>617</v>
      </c>
      <c r="B508" s="270" t="s">
        <v>708</v>
      </c>
      <c r="C508">
        <f t="shared" si="36"/>
        <v>103</v>
      </c>
      <c r="D508">
        <f t="shared" ca="1" si="37"/>
        <v>1</v>
      </c>
      <c r="E508">
        <f t="shared" si="38"/>
        <v>1903</v>
      </c>
      <c r="F508" t="s">
        <v>723</v>
      </c>
    </row>
    <row r="509" spans="1:6" ht="15.6" x14ac:dyDescent="0.3">
      <c r="A509" s="270" t="s">
        <v>617</v>
      </c>
      <c r="B509" s="270" t="s">
        <v>703</v>
      </c>
      <c r="C509">
        <f t="shared" ref="C509:C572" si="39">C310+4</f>
        <v>89</v>
      </c>
      <c r="D509">
        <f t="shared" ca="1" si="37"/>
        <v>0</v>
      </c>
      <c r="E509">
        <f t="shared" si="38"/>
        <v>1878</v>
      </c>
      <c r="F509" t="s">
        <v>723</v>
      </c>
    </row>
    <row r="510" spans="1:6" ht="15.6" x14ac:dyDescent="0.3">
      <c r="A510" s="270" t="s">
        <v>650</v>
      </c>
      <c r="B510" s="270" t="s">
        <v>690</v>
      </c>
      <c r="C510">
        <f t="shared" si="39"/>
        <v>95</v>
      </c>
      <c r="D510">
        <f t="shared" ca="1" si="37"/>
        <v>0</v>
      </c>
      <c r="E510">
        <f t="shared" si="38"/>
        <v>1853</v>
      </c>
      <c r="F510" t="s">
        <v>723</v>
      </c>
    </row>
    <row r="511" spans="1:6" ht="15.6" x14ac:dyDescent="0.3">
      <c r="A511" s="270" t="s">
        <v>623</v>
      </c>
      <c r="B511" s="270" t="s">
        <v>670</v>
      </c>
      <c r="C511">
        <f t="shared" si="39"/>
        <v>93</v>
      </c>
      <c r="D511">
        <f t="shared" ca="1" si="37"/>
        <v>0</v>
      </c>
      <c r="E511">
        <f t="shared" si="38"/>
        <v>1828</v>
      </c>
      <c r="F511" t="s">
        <v>723</v>
      </c>
    </row>
    <row r="512" spans="1:6" ht="15.6" x14ac:dyDescent="0.3">
      <c r="A512" s="270" t="s">
        <v>638</v>
      </c>
      <c r="B512" s="270" t="s">
        <v>670</v>
      </c>
      <c r="C512">
        <f t="shared" si="39"/>
        <v>104</v>
      </c>
      <c r="D512">
        <f t="shared" ca="1" si="37"/>
        <v>0</v>
      </c>
      <c r="E512">
        <f t="shared" si="38"/>
        <v>1920</v>
      </c>
      <c r="F512" t="s">
        <v>723</v>
      </c>
    </row>
    <row r="513" spans="1:6" ht="15.6" x14ac:dyDescent="0.3">
      <c r="A513" s="270" t="s">
        <v>617</v>
      </c>
      <c r="B513" s="270" t="s">
        <v>689</v>
      </c>
      <c r="C513">
        <f t="shared" si="39"/>
        <v>102</v>
      </c>
      <c r="D513">
        <f t="shared" ca="1" si="37"/>
        <v>1</v>
      </c>
      <c r="E513">
        <f t="shared" si="38"/>
        <v>1895</v>
      </c>
      <c r="F513" t="s">
        <v>723</v>
      </c>
    </row>
    <row r="514" spans="1:6" ht="15.6" x14ac:dyDescent="0.3">
      <c r="A514" s="270" t="s">
        <v>649</v>
      </c>
      <c r="B514" s="270" t="s">
        <v>697</v>
      </c>
      <c r="C514">
        <f t="shared" si="39"/>
        <v>102</v>
      </c>
      <c r="D514">
        <f t="shared" ca="1" si="37"/>
        <v>1</v>
      </c>
      <c r="E514">
        <f t="shared" si="38"/>
        <v>1870</v>
      </c>
      <c r="F514" t="s">
        <v>723</v>
      </c>
    </row>
    <row r="515" spans="1:6" ht="15.6" x14ac:dyDescent="0.3">
      <c r="A515" s="270" t="s">
        <v>631</v>
      </c>
      <c r="B515" s="270" t="s">
        <v>715</v>
      </c>
      <c r="C515">
        <f t="shared" si="39"/>
        <v>46</v>
      </c>
      <c r="D515">
        <f t="shared" ref="D515:D578" ca="1" si="40">RANDBETWEEN(0,1)</f>
        <v>0</v>
      </c>
      <c r="E515">
        <f t="shared" si="38"/>
        <v>1845</v>
      </c>
      <c r="F515" t="s">
        <v>723</v>
      </c>
    </row>
    <row r="516" spans="1:6" ht="15.6" x14ac:dyDescent="0.3">
      <c r="A516" s="270" t="s">
        <v>626</v>
      </c>
      <c r="B516" s="270" t="s">
        <v>672</v>
      </c>
      <c r="C516">
        <f t="shared" si="39"/>
        <v>49</v>
      </c>
      <c r="D516">
        <f t="shared" ca="1" si="40"/>
        <v>0</v>
      </c>
      <c r="E516">
        <f t="shared" si="38"/>
        <v>1937</v>
      </c>
      <c r="F516" t="s">
        <v>723</v>
      </c>
    </row>
    <row r="517" spans="1:6" ht="15.6" x14ac:dyDescent="0.3">
      <c r="A517" s="270" t="s">
        <v>638</v>
      </c>
      <c r="B517" s="270" t="s">
        <v>679</v>
      </c>
      <c r="C517">
        <f t="shared" si="39"/>
        <v>51</v>
      </c>
      <c r="D517">
        <f t="shared" ca="1" si="40"/>
        <v>1</v>
      </c>
      <c r="E517">
        <f t="shared" si="38"/>
        <v>1912</v>
      </c>
      <c r="F517" t="s">
        <v>723</v>
      </c>
    </row>
    <row r="518" spans="1:6" ht="15.6" x14ac:dyDescent="0.3">
      <c r="A518" s="270" t="s">
        <v>641</v>
      </c>
      <c r="B518" s="270" t="s">
        <v>698</v>
      </c>
      <c r="C518">
        <f t="shared" si="39"/>
        <v>62</v>
      </c>
      <c r="D518">
        <f t="shared" ca="1" si="40"/>
        <v>0</v>
      </c>
      <c r="E518">
        <f t="shared" si="38"/>
        <v>1887</v>
      </c>
      <c r="F518" t="s">
        <v>723</v>
      </c>
    </row>
    <row r="519" spans="1:6" ht="15.6" x14ac:dyDescent="0.3">
      <c r="A519" s="270" t="s">
        <v>660</v>
      </c>
      <c r="B519" s="270" t="s">
        <v>675</v>
      </c>
      <c r="C519">
        <f t="shared" si="39"/>
        <v>50</v>
      </c>
      <c r="D519">
        <f t="shared" ca="1" si="40"/>
        <v>1</v>
      </c>
      <c r="E519">
        <f t="shared" si="38"/>
        <v>1862</v>
      </c>
      <c r="F519" t="s">
        <v>723</v>
      </c>
    </row>
    <row r="520" spans="1:6" ht="15.6" x14ac:dyDescent="0.3">
      <c r="A520" s="270" t="s">
        <v>642</v>
      </c>
      <c r="B520" s="270" t="s">
        <v>683</v>
      </c>
      <c r="C520">
        <f t="shared" si="39"/>
        <v>41</v>
      </c>
      <c r="D520">
        <f t="shared" ca="1" si="40"/>
        <v>1</v>
      </c>
      <c r="E520">
        <f t="shared" si="38"/>
        <v>1954</v>
      </c>
      <c r="F520" t="s">
        <v>723</v>
      </c>
    </row>
    <row r="521" spans="1:6" ht="15.6" x14ac:dyDescent="0.3">
      <c r="A521" s="270" t="s">
        <v>655</v>
      </c>
      <c r="B521" s="270" t="s">
        <v>683</v>
      </c>
      <c r="C521">
        <f t="shared" si="39"/>
        <v>65</v>
      </c>
      <c r="D521">
        <f t="shared" ca="1" si="40"/>
        <v>0</v>
      </c>
      <c r="E521">
        <f t="shared" si="38"/>
        <v>1929</v>
      </c>
      <c r="F521" t="s">
        <v>724</v>
      </c>
    </row>
    <row r="522" spans="1:6" ht="15.6" x14ac:dyDescent="0.3">
      <c r="A522" s="270" t="s">
        <v>634</v>
      </c>
      <c r="B522" s="270" t="s">
        <v>691</v>
      </c>
      <c r="C522">
        <f t="shared" si="39"/>
        <v>51</v>
      </c>
      <c r="D522">
        <f t="shared" ca="1" si="40"/>
        <v>0</v>
      </c>
      <c r="E522">
        <f t="shared" si="38"/>
        <v>1904</v>
      </c>
      <c r="F522" t="s">
        <v>724</v>
      </c>
    </row>
    <row r="523" spans="1:6" ht="15.6" x14ac:dyDescent="0.3">
      <c r="A523" s="270" t="s">
        <v>640</v>
      </c>
      <c r="B523" s="270" t="s">
        <v>672</v>
      </c>
      <c r="C523">
        <f t="shared" si="39"/>
        <v>53</v>
      </c>
      <c r="D523">
        <f t="shared" ca="1" si="40"/>
        <v>1</v>
      </c>
      <c r="E523">
        <f t="shared" si="38"/>
        <v>1879</v>
      </c>
      <c r="F523" t="s">
        <v>724</v>
      </c>
    </row>
    <row r="524" spans="1:6" ht="15.6" x14ac:dyDescent="0.3">
      <c r="A524" s="270" t="s">
        <v>635</v>
      </c>
      <c r="B524" s="270" t="s">
        <v>693</v>
      </c>
      <c r="C524">
        <f t="shared" si="39"/>
        <v>64</v>
      </c>
      <c r="D524">
        <f t="shared" ca="1" si="40"/>
        <v>0</v>
      </c>
      <c r="E524">
        <f t="shared" si="38"/>
        <v>1971</v>
      </c>
      <c r="F524" t="s">
        <v>724</v>
      </c>
    </row>
    <row r="525" spans="1:6" ht="15.6" x14ac:dyDescent="0.3">
      <c r="A525" s="270" t="s">
        <v>640</v>
      </c>
      <c r="B525" s="270" t="s">
        <v>712</v>
      </c>
      <c r="C525">
        <f t="shared" si="39"/>
        <v>52</v>
      </c>
      <c r="D525">
        <f t="shared" ca="1" si="40"/>
        <v>0</v>
      </c>
      <c r="E525">
        <f t="shared" si="38"/>
        <v>1946</v>
      </c>
      <c r="F525" t="s">
        <v>724</v>
      </c>
    </row>
    <row r="526" spans="1:6" ht="15.6" x14ac:dyDescent="0.3">
      <c r="A526" s="270" t="s">
        <v>658</v>
      </c>
      <c r="B526" s="270" t="s">
        <v>712</v>
      </c>
      <c r="C526">
        <f t="shared" si="39"/>
        <v>67</v>
      </c>
      <c r="D526">
        <f t="shared" ca="1" si="40"/>
        <v>1</v>
      </c>
      <c r="E526">
        <f t="shared" si="38"/>
        <v>1921</v>
      </c>
      <c r="F526" t="s">
        <v>724</v>
      </c>
    </row>
    <row r="527" spans="1:6" ht="15.6" x14ac:dyDescent="0.3">
      <c r="A527" s="270" t="s">
        <v>651</v>
      </c>
      <c r="B527" s="270" t="s">
        <v>678</v>
      </c>
      <c r="C527">
        <f t="shared" si="39"/>
        <v>53</v>
      </c>
      <c r="D527">
        <f t="shared" ca="1" si="40"/>
        <v>0</v>
      </c>
      <c r="E527">
        <f t="shared" si="38"/>
        <v>1896</v>
      </c>
      <c r="F527" t="s">
        <v>724</v>
      </c>
    </row>
    <row r="528" spans="1:6" ht="15.6" x14ac:dyDescent="0.3">
      <c r="A528" s="270" t="s">
        <v>660</v>
      </c>
      <c r="B528" s="270" t="s">
        <v>668</v>
      </c>
      <c r="C528">
        <f t="shared" si="39"/>
        <v>59</v>
      </c>
      <c r="D528">
        <f t="shared" ca="1" si="40"/>
        <v>0</v>
      </c>
      <c r="E528">
        <f t="shared" si="38"/>
        <v>1988</v>
      </c>
      <c r="F528" t="s">
        <v>724</v>
      </c>
    </row>
    <row r="529" spans="1:6" ht="15.6" x14ac:dyDescent="0.3">
      <c r="A529" s="270" t="s">
        <v>634</v>
      </c>
      <c r="B529" s="270" t="s">
        <v>679</v>
      </c>
      <c r="C529">
        <f t="shared" si="39"/>
        <v>57</v>
      </c>
      <c r="D529">
        <f t="shared" ca="1" si="40"/>
        <v>0</v>
      </c>
      <c r="E529">
        <f t="shared" si="38"/>
        <v>1963</v>
      </c>
      <c r="F529" t="s">
        <v>724</v>
      </c>
    </row>
    <row r="530" spans="1:6" ht="15.6" x14ac:dyDescent="0.3">
      <c r="A530" s="270" t="s">
        <v>664</v>
      </c>
      <c r="B530" s="270" t="s">
        <v>568</v>
      </c>
      <c r="C530">
        <f t="shared" si="39"/>
        <v>68</v>
      </c>
      <c r="D530">
        <f t="shared" ca="1" si="40"/>
        <v>0</v>
      </c>
      <c r="E530">
        <f t="shared" si="38"/>
        <v>1938</v>
      </c>
      <c r="F530" t="s">
        <v>724</v>
      </c>
    </row>
    <row r="531" spans="1:6" ht="15.6" x14ac:dyDescent="0.3">
      <c r="A531" s="270" t="s">
        <v>619</v>
      </c>
      <c r="B531" s="270" t="s">
        <v>691</v>
      </c>
      <c r="C531">
        <f t="shared" si="39"/>
        <v>66</v>
      </c>
      <c r="D531">
        <f t="shared" ca="1" si="40"/>
        <v>1</v>
      </c>
      <c r="E531">
        <f t="shared" si="38"/>
        <v>1913</v>
      </c>
      <c r="F531" t="s">
        <v>724</v>
      </c>
    </row>
    <row r="532" spans="1:6" ht="15.6" x14ac:dyDescent="0.3">
      <c r="A532" s="270" t="s">
        <v>659</v>
      </c>
      <c r="B532" s="270" t="s">
        <v>700</v>
      </c>
      <c r="C532">
        <f t="shared" si="39"/>
        <v>59</v>
      </c>
      <c r="D532">
        <f t="shared" ca="1" si="40"/>
        <v>0</v>
      </c>
      <c r="E532">
        <f t="shared" si="38"/>
        <v>2005</v>
      </c>
      <c r="F532" t="s">
        <v>724</v>
      </c>
    </row>
    <row r="533" spans="1:6" ht="15.6" x14ac:dyDescent="0.3">
      <c r="A533" s="270" t="s">
        <v>662</v>
      </c>
      <c r="B533" s="270" t="s">
        <v>685</v>
      </c>
      <c r="C533">
        <f t="shared" si="39"/>
        <v>49</v>
      </c>
      <c r="D533">
        <f t="shared" ca="1" si="40"/>
        <v>1</v>
      </c>
      <c r="E533">
        <f t="shared" si="38"/>
        <v>1980</v>
      </c>
      <c r="F533" t="s">
        <v>724</v>
      </c>
    </row>
    <row r="534" spans="1:6" ht="15.6" x14ac:dyDescent="0.3">
      <c r="A534" s="270" t="s">
        <v>631</v>
      </c>
      <c r="B534" s="270" t="s">
        <v>680</v>
      </c>
      <c r="C534">
        <f t="shared" si="39"/>
        <v>52</v>
      </c>
      <c r="D534">
        <f t="shared" ca="1" si="40"/>
        <v>1</v>
      </c>
      <c r="E534">
        <f t="shared" si="38"/>
        <v>1955</v>
      </c>
      <c r="F534" t="s">
        <v>724</v>
      </c>
    </row>
    <row r="535" spans="1:6" ht="15.6" x14ac:dyDescent="0.3">
      <c r="A535" s="270" t="s">
        <v>648</v>
      </c>
      <c r="B535" s="270" t="s">
        <v>683</v>
      </c>
      <c r="C535">
        <f t="shared" si="39"/>
        <v>54</v>
      </c>
      <c r="D535">
        <f t="shared" ca="1" si="40"/>
        <v>1</v>
      </c>
      <c r="E535">
        <f t="shared" si="38"/>
        <v>1930</v>
      </c>
      <c r="F535" t="s">
        <v>724</v>
      </c>
    </row>
    <row r="536" spans="1:6" ht="15.6" x14ac:dyDescent="0.3">
      <c r="A536" s="270" t="s">
        <v>642</v>
      </c>
      <c r="B536" s="270" t="s">
        <v>674</v>
      </c>
      <c r="C536">
        <f t="shared" si="39"/>
        <v>50</v>
      </c>
      <c r="D536">
        <f t="shared" ca="1" si="40"/>
        <v>1</v>
      </c>
      <c r="E536">
        <f t="shared" si="38"/>
        <v>2022</v>
      </c>
      <c r="F536" t="s">
        <v>724</v>
      </c>
    </row>
    <row r="537" spans="1:6" ht="15.6" x14ac:dyDescent="0.3">
      <c r="A537" s="270" t="s">
        <v>638</v>
      </c>
      <c r="B537" s="270" t="s">
        <v>705</v>
      </c>
      <c r="C537">
        <f t="shared" si="39"/>
        <v>53</v>
      </c>
      <c r="D537">
        <f t="shared" ca="1" si="40"/>
        <v>0</v>
      </c>
      <c r="E537">
        <f t="shared" si="38"/>
        <v>1997</v>
      </c>
      <c r="F537" t="s">
        <v>724</v>
      </c>
    </row>
    <row r="538" spans="1:6" ht="15.6" x14ac:dyDescent="0.3">
      <c r="A538" s="270" t="s">
        <v>623</v>
      </c>
      <c r="B538" s="270" t="s">
        <v>685</v>
      </c>
      <c r="C538">
        <f t="shared" si="39"/>
        <v>51</v>
      </c>
      <c r="D538">
        <f t="shared" ca="1" si="40"/>
        <v>1</v>
      </c>
      <c r="E538">
        <f t="shared" si="38"/>
        <v>1972</v>
      </c>
      <c r="F538" t="s">
        <v>724</v>
      </c>
    </row>
    <row r="539" spans="1:6" ht="15.6" x14ac:dyDescent="0.3">
      <c r="A539" s="270" t="s">
        <v>631</v>
      </c>
      <c r="B539" s="270" t="s">
        <v>700</v>
      </c>
      <c r="C539">
        <f t="shared" si="39"/>
        <v>54</v>
      </c>
      <c r="D539">
        <f t="shared" ca="1" si="40"/>
        <v>1</v>
      </c>
      <c r="E539">
        <f t="shared" si="38"/>
        <v>1947</v>
      </c>
      <c r="F539" t="s">
        <v>724</v>
      </c>
    </row>
    <row r="540" spans="1:6" ht="15.6" x14ac:dyDescent="0.3">
      <c r="A540" s="270" t="s">
        <v>636</v>
      </c>
      <c r="B540" s="270" t="s">
        <v>677</v>
      </c>
      <c r="C540">
        <f t="shared" si="39"/>
        <v>56</v>
      </c>
      <c r="D540">
        <f t="shared" ca="1" si="40"/>
        <v>1</v>
      </c>
      <c r="E540">
        <f t="shared" si="38"/>
        <v>2039</v>
      </c>
      <c r="F540" t="s">
        <v>724</v>
      </c>
    </row>
    <row r="541" spans="1:6" ht="15.6" x14ac:dyDescent="0.3">
      <c r="A541" s="270" t="s">
        <v>637</v>
      </c>
      <c r="B541" s="270" t="s">
        <v>667</v>
      </c>
      <c r="C541">
        <f t="shared" si="39"/>
        <v>67</v>
      </c>
      <c r="D541">
        <f t="shared" ca="1" si="40"/>
        <v>0</v>
      </c>
      <c r="E541">
        <f t="shared" si="38"/>
        <v>2014</v>
      </c>
      <c r="F541" t="s">
        <v>724</v>
      </c>
    </row>
    <row r="542" spans="1:6" ht="15.6" x14ac:dyDescent="0.3">
      <c r="A542" s="270" t="s">
        <v>657</v>
      </c>
      <c r="B542" s="270" t="s">
        <v>710</v>
      </c>
      <c r="C542">
        <f t="shared" si="39"/>
        <v>55</v>
      </c>
      <c r="D542">
        <f t="shared" ca="1" si="40"/>
        <v>0</v>
      </c>
      <c r="E542">
        <f t="shared" si="38"/>
        <v>1989</v>
      </c>
      <c r="F542" t="s">
        <v>724</v>
      </c>
    </row>
    <row r="543" spans="1:6" ht="15.6" x14ac:dyDescent="0.3">
      <c r="A543" s="270" t="s">
        <v>651</v>
      </c>
      <c r="B543" s="270" t="s">
        <v>702</v>
      </c>
      <c r="C543">
        <f t="shared" si="39"/>
        <v>70</v>
      </c>
      <c r="D543">
        <f t="shared" ca="1" si="40"/>
        <v>1</v>
      </c>
      <c r="E543">
        <f t="shared" si="38"/>
        <v>1964</v>
      </c>
      <c r="F543" t="s">
        <v>724</v>
      </c>
    </row>
    <row r="544" spans="1:6" ht="15.6" x14ac:dyDescent="0.3">
      <c r="A544" s="270" t="s">
        <v>631</v>
      </c>
      <c r="B544" s="270" t="s">
        <v>674</v>
      </c>
      <c r="C544">
        <f t="shared" si="39"/>
        <v>56</v>
      </c>
      <c r="D544">
        <f t="shared" ca="1" si="40"/>
        <v>0</v>
      </c>
      <c r="E544">
        <f t="shared" si="38"/>
        <v>2056</v>
      </c>
      <c r="F544" t="s">
        <v>724</v>
      </c>
    </row>
    <row r="545" spans="1:6" ht="15.6" x14ac:dyDescent="0.3">
      <c r="A545" s="270" t="s">
        <v>646</v>
      </c>
      <c r="B545" s="270" t="s">
        <v>688</v>
      </c>
      <c r="C545">
        <f t="shared" si="39"/>
        <v>58</v>
      </c>
      <c r="D545">
        <f t="shared" ca="1" si="40"/>
        <v>0</v>
      </c>
      <c r="E545">
        <f t="shared" ref="E545:E608" si="41">E541+17</f>
        <v>2031</v>
      </c>
      <c r="F545" t="s">
        <v>724</v>
      </c>
    </row>
    <row r="546" spans="1:6" ht="15.6" x14ac:dyDescent="0.3">
      <c r="A546" s="270" t="s">
        <v>622</v>
      </c>
      <c r="B546" s="270" t="s">
        <v>691</v>
      </c>
      <c r="C546">
        <f t="shared" si="39"/>
        <v>69</v>
      </c>
      <c r="D546">
        <f t="shared" ca="1" si="40"/>
        <v>1</v>
      </c>
      <c r="E546">
        <f t="shared" si="41"/>
        <v>2006</v>
      </c>
      <c r="F546" t="s">
        <v>724</v>
      </c>
    </row>
    <row r="547" spans="1:6" ht="15.6" x14ac:dyDescent="0.3">
      <c r="A547" s="270" t="s">
        <v>641</v>
      </c>
      <c r="B547" s="270" t="s">
        <v>669</v>
      </c>
      <c r="C547">
        <f t="shared" si="39"/>
        <v>57</v>
      </c>
      <c r="D547">
        <f t="shared" ca="1" si="40"/>
        <v>1</v>
      </c>
      <c r="E547">
        <f t="shared" si="41"/>
        <v>1981</v>
      </c>
      <c r="F547" t="s">
        <v>724</v>
      </c>
    </row>
    <row r="548" spans="1:6" ht="15.6" x14ac:dyDescent="0.3">
      <c r="A548" s="270" t="s">
        <v>641</v>
      </c>
      <c r="B548" s="270" t="s">
        <v>715</v>
      </c>
      <c r="C548">
        <f t="shared" si="39"/>
        <v>72</v>
      </c>
      <c r="D548">
        <f t="shared" ca="1" si="40"/>
        <v>1</v>
      </c>
      <c r="E548">
        <f t="shared" si="41"/>
        <v>2073</v>
      </c>
      <c r="F548" t="s">
        <v>724</v>
      </c>
    </row>
    <row r="549" spans="1:6" ht="15.6" x14ac:dyDescent="0.3">
      <c r="A549" s="270" t="s">
        <v>654</v>
      </c>
      <c r="B549" s="270" t="s">
        <v>701</v>
      </c>
      <c r="C549">
        <f t="shared" si="39"/>
        <v>58</v>
      </c>
      <c r="D549">
        <f t="shared" ca="1" si="40"/>
        <v>0</v>
      </c>
      <c r="E549">
        <f t="shared" si="41"/>
        <v>2048</v>
      </c>
      <c r="F549" t="s">
        <v>724</v>
      </c>
    </row>
    <row r="550" spans="1:6" ht="15.6" x14ac:dyDescent="0.3">
      <c r="A550" s="270" t="s">
        <v>644</v>
      </c>
      <c r="B550" s="270" t="s">
        <v>714</v>
      </c>
      <c r="C550">
        <f t="shared" si="39"/>
        <v>64</v>
      </c>
      <c r="D550">
        <f t="shared" ca="1" si="40"/>
        <v>1</v>
      </c>
      <c r="E550">
        <f t="shared" si="41"/>
        <v>2023</v>
      </c>
      <c r="F550" t="s">
        <v>724</v>
      </c>
    </row>
    <row r="551" spans="1:6" ht="15.6" x14ac:dyDescent="0.3">
      <c r="A551" s="270" t="s">
        <v>654</v>
      </c>
      <c r="B551" s="270" t="s">
        <v>568</v>
      </c>
      <c r="C551">
        <f t="shared" si="39"/>
        <v>62</v>
      </c>
      <c r="D551">
        <f t="shared" ca="1" si="40"/>
        <v>1</v>
      </c>
      <c r="E551">
        <f t="shared" si="41"/>
        <v>1998</v>
      </c>
      <c r="F551" t="s">
        <v>724</v>
      </c>
    </row>
    <row r="552" spans="1:6" ht="15.6" x14ac:dyDescent="0.3">
      <c r="A552" s="270" t="s">
        <v>639</v>
      </c>
      <c r="B552" s="270" t="s">
        <v>682</v>
      </c>
      <c r="C552">
        <f t="shared" si="39"/>
        <v>73</v>
      </c>
      <c r="D552">
        <f t="shared" ca="1" si="40"/>
        <v>0</v>
      </c>
      <c r="E552">
        <f t="shared" si="41"/>
        <v>2090</v>
      </c>
      <c r="F552" t="s">
        <v>724</v>
      </c>
    </row>
    <row r="553" spans="1:6" ht="15.6" x14ac:dyDescent="0.3">
      <c r="A553" s="270" t="s">
        <v>666</v>
      </c>
      <c r="B553" s="270" t="s">
        <v>677</v>
      </c>
      <c r="C553">
        <f t="shared" si="39"/>
        <v>73</v>
      </c>
      <c r="D553">
        <f t="shared" ca="1" si="40"/>
        <v>0</v>
      </c>
      <c r="E553">
        <f t="shared" si="41"/>
        <v>2065</v>
      </c>
      <c r="F553" t="s">
        <v>724</v>
      </c>
    </row>
    <row r="554" spans="1:6" ht="15.6" x14ac:dyDescent="0.3">
      <c r="A554" s="270" t="s">
        <v>630</v>
      </c>
      <c r="B554" s="270" t="s">
        <v>681</v>
      </c>
      <c r="C554">
        <f t="shared" si="39"/>
        <v>71</v>
      </c>
      <c r="D554">
        <f t="shared" ca="1" si="40"/>
        <v>0</v>
      </c>
      <c r="E554">
        <f t="shared" si="41"/>
        <v>2040</v>
      </c>
      <c r="F554" t="s">
        <v>724</v>
      </c>
    </row>
    <row r="555" spans="1:6" ht="15.6" x14ac:dyDescent="0.3">
      <c r="A555" s="270" t="s">
        <v>651</v>
      </c>
      <c r="B555" s="270" t="s">
        <v>715</v>
      </c>
      <c r="C555">
        <f t="shared" si="39"/>
        <v>64</v>
      </c>
      <c r="D555">
        <f t="shared" ca="1" si="40"/>
        <v>1</v>
      </c>
      <c r="E555">
        <f t="shared" si="41"/>
        <v>2015</v>
      </c>
      <c r="F555" t="s">
        <v>724</v>
      </c>
    </row>
    <row r="556" spans="1:6" ht="15.6" x14ac:dyDescent="0.3">
      <c r="A556" s="270" t="s">
        <v>617</v>
      </c>
      <c r="B556" s="270" t="s">
        <v>688</v>
      </c>
      <c r="C556">
        <f t="shared" si="39"/>
        <v>54</v>
      </c>
      <c r="D556">
        <f t="shared" ca="1" si="40"/>
        <v>1</v>
      </c>
      <c r="E556">
        <f t="shared" si="41"/>
        <v>2107</v>
      </c>
      <c r="F556" t="s">
        <v>724</v>
      </c>
    </row>
    <row r="557" spans="1:6" ht="15.6" x14ac:dyDescent="0.3">
      <c r="A557" s="270" t="s">
        <v>653</v>
      </c>
      <c r="B557" s="270" t="s">
        <v>681</v>
      </c>
      <c r="C557">
        <f t="shared" si="39"/>
        <v>57</v>
      </c>
      <c r="D557">
        <f t="shared" ca="1" si="40"/>
        <v>1</v>
      </c>
      <c r="E557">
        <f t="shared" si="41"/>
        <v>2082</v>
      </c>
      <c r="F557" t="s">
        <v>724</v>
      </c>
    </row>
    <row r="558" spans="1:6" ht="15.6" x14ac:dyDescent="0.3">
      <c r="A558" s="270" t="s">
        <v>662</v>
      </c>
      <c r="B558" s="270" t="s">
        <v>699</v>
      </c>
      <c r="C558">
        <f t="shared" si="39"/>
        <v>59</v>
      </c>
      <c r="D558">
        <f t="shared" ca="1" si="40"/>
        <v>1</v>
      </c>
      <c r="E558">
        <f t="shared" si="41"/>
        <v>2057</v>
      </c>
      <c r="F558" t="s">
        <v>724</v>
      </c>
    </row>
    <row r="559" spans="1:6" ht="15.6" x14ac:dyDescent="0.3">
      <c r="A559" s="270" t="s">
        <v>654</v>
      </c>
      <c r="B559" s="270" t="s">
        <v>715</v>
      </c>
      <c r="C559">
        <f t="shared" si="39"/>
        <v>55</v>
      </c>
      <c r="D559">
        <f t="shared" ca="1" si="40"/>
        <v>1</v>
      </c>
      <c r="E559">
        <f t="shared" si="41"/>
        <v>2032</v>
      </c>
      <c r="F559" t="s">
        <v>724</v>
      </c>
    </row>
    <row r="560" spans="1:6" ht="15.6" x14ac:dyDescent="0.3">
      <c r="A560" s="270" t="s">
        <v>639</v>
      </c>
      <c r="B560" s="270" t="s">
        <v>674</v>
      </c>
      <c r="C560">
        <f t="shared" si="39"/>
        <v>58</v>
      </c>
      <c r="D560">
        <f t="shared" ca="1" si="40"/>
        <v>0</v>
      </c>
      <c r="E560">
        <f t="shared" si="41"/>
        <v>2124</v>
      </c>
      <c r="F560" t="s">
        <v>724</v>
      </c>
    </row>
    <row r="561" spans="1:6" ht="15.6" x14ac:dyDescent="0.3">
      <c r="A561" s="270" t="s">
        <v>654</v>
      </c>
      <c r="B561" s="270" t="s">
        <v>682</v>
      </c>
      <c r="C561">
        <f t="shared" si="39"/>
        <v>56</v>
      </c>
      <c r="D561">
        <f t="shared" ca="1" si="40"/>
        <v>0</v>
      </c>
      <c r="E561">
        <f t="shared" si="41"/>
        <v>2099</v>
      </c>
      <c r="F561" t="s">
        <v>724</v>
      </c>
    </row>
    <row r="562" spans="1:6" ht="15.6" x14ac:dyDescent="0.3">
      <c r="A562" s="270" t="s">
        <v>649</v>
      </c>
      <c r="B562" s="270" t="s">
        <v>702</v>
      </c>
      <c r="C562">
        <f t="shared" si="39"/>
        <v>59</v>
      </c>
      <c r="D562">
        <f t="shared" ca="1" si="40"/>
        <v>0</v>
      </c>
      <c r="E562">
        <f t="shared" si="41"/>
        <v>2074</v>
      </c>
      <c r="F562" t="s">
        <v>724</v>
      </c>
    </row>
    <row r="563" spans="1:6" ht="15.6" x14ac:dyDescent="0.3">
      <c r="A563" s="270" t="s">
        <v>650</v>
      </c>
      <c r="B563" s="270" t="s">
        <v>680</v>
      </c>
      <c r="C563">
        <f t="shared" si="39"/>
        <v>61</v>
      </c>
      <c r="D563">
        <f t="shared" ca="1" si="40"/>
        <v>0</v>
      </c>
      <c r="E563">
        <f t="shared" si="41"/>
        <v>2049</v>
      </c>
      <c r="F563" t="s">
        <v>724</v>
      </c>
    </row>
    <row r="564" spans="1:6" ht="15.6" x14ac:dyDescent="0.3">
      <c r="A564" s="270" t="s">
        <v>648</v>
      </c>
      <c r="B564" s="270" t="s">
        <v>667</v>
      </c>
      <c r="C564">
        <f t="shared" si="39"/>
        <v>72</v>
      </c>
      <c r="D564">
        <f t="shared" ca="1" si="40"/>
        <v>0</v>
      </c>
      <c r="E564">
        <f t="shared" si="41"/>
        <v>2141</v>
      </c>
      <c r="F564" t="s">
        <v>724</v>
      </c>
    </row>
    <row r="565" spans="1:6" ht="15.6" x14ac:dyDescent="0.3">
      <c r="A565" s="270" t="s">
        <v>620</v>
      </c>
      <c r="B565" s="270" t="s">
        <v>706</v>
      </c>
      <c r="C565">
        <f t="shared" si="39"/>
        <v>60</v>
      </c>
      <c r="D565">
        <f t="shared" ca="1" si="40"/>
        <v>0</v>
      </c>
      <c r="E565">
        <f t="shared" si="41"/>
        <v>2116</v>
      </c>
      <c r="F565" t="s">
        <v>724</v>
      </c>
    </row>
    <row r="566" spans="1:6" ht="15.6" x14ac:dyDescent="0.3">
      <c r="A566" s="270" t="s">
        <v>623</v>
      </c>
      <c r="B566" s="270" t="s">
        <v>690</v>
      </c>
      <c r="C566">
        <f t="shared" si="39"/>
        <v>75</v>
      </c>
      <c r="D566">
        <f t="shared" ca="1" si="40"/>
        <v>1</v>
      </c>
      <c r="E566">
        <f t="shared" si="41"/>
        <v>2091</v>
      </c>
      <c r="F566" t="s">
        <v>724</v>
      </c>
    </row>
    <row r="567" spans="1:6" ht="15.6" x14ac:dyDescent="0.3">
      <c r="A567" s="270" t="s">
        <v>626</v>
      </c>
      <c r="B567" s="270" t="s">
        <v>682</v>
      </c>
      <c r="C567">
        <f t="shared" si="39"/>
        <v>61</v>
      </c>
      <c r="D567">
        <f t="shared" ca="1" si="40"/>
        <v>0</v>
      </c>
      <c r="E567">
        <f t="shared" si="41"/>
        <v>2066</v>
      </c>
      <c r="F567" t="s">
        <v>724</v>
      </c>
    </row>
    <row r="568" spans="1:6" ht="15.6" x14ac:dyDescent="0.3">
      <c r="A568" s="270" t="s">
        <v>623</v>
      </c>
      <c r="B568" s="270" t="s">
        <v>669</v>
      </c>
      <c r="C568">
        <f t="shared" si="39"/>
        <v>63</v>
      </c>
      <c r="D568">
        <f t="shared" ca="1" si="40"/>
        <v>0</v>
      </c>
      <c r="E568">
        <f t="shared" si="41"/>
        <v>2158</v>
      </c>
      <c r="F568" t="s">
        <v>724</v>
      </c>
    </row>
    <row r="569" spans="1:6" ht="15.6" x14ac:dyDescent="0.3">
      <c r="A569" s="270" t="s">
        <v>662</v>
      </c>
      <c r="B569" s="270" t="s">
        <v>699</v>
      </c>
      <c r="C569">
        <f t="shared" si="39"/>
        <v>74</v>
      </c>
      <c r="D569">
        <f t="shared" ca="1" si="40"/>
        <v>0</v>
      </c>
      <c r="E569">
        <f t="shared" si="41"/>
        <v>2133</v>
      </c>
      <c r="F569" t="s">
        <v>724</v>
      </c>
    </row>
    <row r="570" spans="1:6" ht="15.6" x14ac:dyDescent="0.3">
      <c r="A570" s="270" t="s">
        <v>623</v>
      </c>
      <c r="B570" s="270" t="s">
        <v>696</v>
      </c>
      <c r="C570">
        <f t="shared" si="39"/>
        <v>62</v>
      </c>
      <c r="D570">
        <f t="shared" ca="1" si="40"/>
        <v>0</v>
      </c>
      <c r="E570">
        <f t="shared" si="41"/>
        <v>2108</v>
      </c>
      <c r="F570" t="s">
        <v>724</v>
      </c>
    </row>
    <row r="571" spans="1:6" ht="15.6" x14ac:dyDescent="0.3">
      <c r="A571" s="270" t="s">
        <v>625</v>
      </c>
      <c r="B571" s="270" t="s">
        <v>713</v>
      </c>
      <c r="C571">
        <f t="shared" si="39"/>
        <v>77</v>
      </c>
      <c r="D571">
        <f t="shared" ca="1" si="40"/>
        <v>0</v>
      </c>
      <c r="E571">
        <f t="shared" si="41"/>
        <v>2083</v>
      </c>
      <c r="F571" t="s">
        <v>724</v>
      </c>
    </row>
    <row r="572" spans="1:6" ht="15.6" x14ac:dyDescent="0.3">
      <c r="A572" s="270" t="s">
        <v>622</v>
      </c>
      <c r="B572" s="270" t="s">
        <v>673</v>
      </c>
      <c r="C572">
        <f t="shared" si="39"/>
        <v>63</v>
      </c>
      <c r="D572">
        <f t="shared" ca="1" si="40"/>
        <v>0</v>
      </c>
      <c r="E572">
        <f t="shared" si="41"/>
        <v>2175</v>
      </c>
      <c r="F572" t="s">
        <v>724</v>
      </c>
    </row>
    <row r="573" spans="1:6" ht="15.6" x14ac:dyDescent="0.3">
      <c r="A573" s="270" t="s">
        <v>623</v>
      </c>
      <c r="B573" s="270" t="s">
        <v>674</v>
      </c>
      <c r="C573">
        <f t="shared" ref="C573:C636" si="42">C374+4</f>
        <v>69</v>
      </c>
      <c r="D573">
        <f t="shared" ca="1" si="40"/>
        <v>1</v>
      </c>
      <c r="E573">
        <f t="shared" si="41"/>
        <v>2150</v>
      </c>
      <c r="F573" t="s">
        <v>724</v>
      </c>
    </row>
    <row r="574" spans="1:6" ht="15.6" x14ac:dyDescent="0.3">
      <c r="A574" s="270" t="s">
        <v>622</v>
      </c>
      <c r="B574" s="270" t="s">
        <v>677</v>
      </c>
      <c r="C574">
        <f t="shared" si="42"/>
        <v>67</v>
      </c>
      <c r="D574">
        <f t="shared" ca="1" si="40"/>
        <v>0</v>
      </c>
      <c r="E574">
        <f t="shared" si="41"/>
        <v>2125</v>
      </c>
      <c r="F574" t="s">
        <v>724</v>
      </c>
    </row>
    <row r="575" spans="1:6" ht="15.6" x14ac:dyDescent="0.3">
      <c r="A575" s="270" t="s">
        <v>650</v>
      </c>
      <c r="B575" s="270" t="s">
        <v>709</v>
      </c>
      <c r="C575">
        <f t="shared" si="42"/>
        <v>78</v>
      </c>
      <c r="D575">
        <f t="shared" ca="1" si="40"/>
        <v>1</v>
      </c>
      <c r="E575">
        <f t="shared" si="41"/>
        <v>2100</v>
      </c>
      <c r="F575" t="s">
        <v>724</v>
      </c>
    </row>
    <row r="576" spans="1:6" ht="15.6" x14ac:dyDescent="0.3">
      <c r="A576" s="270" t="s">
        <v>663</v>
      </c>
      <c r="B576" s="270" t="s">
        <v>714</v>
      </c>
      <c r="C576">
        <f t="shared" si="42"/>
        <v>76</v>
      </c>
      <c r="D576">
        <f t="shared" ca="1" si="40"/>
        <v>0</v>
      </c>
      <c r="E576">
        <f t="shared" si="41"/>
        <v>2192</v>
      </c>
      <c r="F576" t="s">
        <v>724</v>
      </c>
    </row>
    <row r="577" spans="1:6" ht="15.6" x14ac:dyDescent="0.3">
      <c r="A577" s="270" t="s">
        <v>660</v>
      </c>
      <c r="B577" s="270" t="s">
        <v>688</v>
      </c>
      <c r="C577">
        <f t="shared" si="42"/>
        <v>69</v>
      </c>
      <c r="D577">
        <f t="shared" ca="1" si="40"/>
        <v>1</v>
      </c>
      <c r="E577">
        <f t="shared" si="41"/>
        <v>2167</v>
      </c>
      <c r="F577" t="s">
        <v>724</v>
      </c>
    </row>
    <row r="578" spans="1:6" ht="15.6" x14ac:dyDescent="0.3">
      <c r="A578" s="270" t="s">
        <v>663</v>
      </c>
      <c r="B578" s="270" t="s">
        <v>709</v>
      </c>
      <c r="C578">
        <f t="shared" si="42"/>
        <v>59</v>
      </c>
      <c r="D578">
        <f t="shared" ca="1" si="40"/>
        <v>1</v>
      </c>
      <c r="E578">
        <f t="shared" si="41"/>
        <v>2142</v>
      </c>
      <c r="F578" t="s">
        <v>724</v>
      </c>
    </row>
    <row r="579" spans="1:6" ht="15.6" x14ac:dyDescent="0.3">
      <c r="A579" s="270" t="s">
        <v>634</v>
      </c>
      <c r="B579" s="270" t="s">
        <v>710</v>
      </c>
      <c r="C579">
        <f t="shared" si="42"/>
        <v>62</v>
      </c>
      <c r="D579">
        <f t="shared" ref="D579:D642" ca="1" si="43">RANDBETWEEN(0,1)</f>
        <v>1</v>
      </c>
      <c r="E579">
        <f t="shared" si="41"/>
        <v>2117</v>
      </c>
      <c r="F579" t="s">
        <v>724</v>
      </c>
    </row>
    <row r="580" spans="1:6" ht="15.6" x14ac:dyDescent="0.3">
      <c r="A580" s="270" t="s">
        <v>666</v>
      </c>
      <c r="B580" s="270" t="s">
        <v>683</v>
      </c>
      <c r="C580">
        <f t="shared" si="42"/>
        <v>64</v>
      </c>
      <c r="D580">
        <f t="shared" ca="1" si="43"/>
        <v>1</v>
      </c>
      <c r="E580">
        <f t="shared" si="41"/>
        <v>2209</v>
      </c>
      <c r="F580" t="s">
        <v>724</v>
      </c>
    </row>
    <row r="581" spans="1:6" ht="15.6" x14ac:dyDescent="0.3">
      <c r="A581" s="270" t="s">
        <v>623</v>
      </c>
      <c r="B581" s="270" t="s">
        <v>690</v>
      </c>
      <c r="C581">
        <f t="shared" si="42"/>
        <v>60</v>
      </c>
      <c r="D581">
        <f t="shared" ca="1" si="43"/>
        <v>1</v>
      </c>
      <c r="E581">
        <f t="shared" si="41"/>
        <v>2184</v>
      </c>
      <c r="F581" t="s">
        <v>724</v>
      </c>
    </row>
    <row r="582" spans="1:6" ht="15.6" x14ac:dyDescent="0.3">
      <c r="A582" s="270" t="s">
        <v>626</v>
      </c>
      <c r="B582" s="270" t="s">
        <v>682</v>
      </c>
      <c r="C582">
        <f t="shared" si="42"/>
        <v>63</v>
      </c>
      <c r="D582">
        <f t="shared" ca="1" si="43"/>
        <v>1</v>
      </c>
      <c r="E582">
        <f t="shared" si="41"/>
        <v>2159</v>
      </c>
      <c r="F582" t="s">
        <v>724</v>
      </c>
    </row>
    <row r="583" spans="1:6" ht="15.6" x14ac:dyDescent="0.3">
      <c r="A583" s="270" t="s">
        <v>624</v>
      </c>
      <c r="B583" s="270" t="s">
        <v>681</v>
      </c>
      <c r="C583">
        <f t="shared" si="42"/>
        <v>61</v>
      </c>
      <c r="D583">
        <f t="shared" ca="1" si="43"/>
        <v>1</v>
      </c>
      <c r="E583">
        <f t="shared" si="41"/>
        <v>2134</v>
      </c>
      <c r="F583" t="s">
        <v>724</v>
      </c>
    </row>
    <row r="584" spans="1:6" ht="15.6" x14ac:dyDescent="0.3">
      <c r="A584" s="270" t="s">
        <v>621</v>
      </c>
      <c r="B584" s="270" t="s">
        <v>670</v>
      </c>
      <c r="C584">
        <f t="shared" si="42"/>
        <v>64</v>
      </c>
      <c r="D584">
        <f t="shared" ca="1" si="43"/>
        <v>1</v>
      </c>
      <c r="E584">
        <f t="shared" si="41"/>
        <v>2226</v>
      </c>
      <c r="F584" t="s">
        <v>724</v>
      </c>
    </row>
    <row r="585" spans="1:6" ht="15.6" x14ac:dyDescent="0.3">
      <c r="A585" s="270" t="s">
        <v>630</v>
      </c>
      <c r="B585" s="270" t="s">
        <v>695</v>
      </c>
      <c r="C585">
        <f t="shared" si="42"/>
        <v>64</v>
      </c>
      <c r="D585">
        <f t="shared" ca="1" si="43"/>
        <v>1</v>
      </c>
      <c r="E585">
        <f t="shared" si="41"/>
        <v>2201</v>
      </c>
      <c r="F585" t="s">
        <v>724</v>
      </c>
    </row>
    <row r="586" spans="1:6" ht="15.6" x14ac:dyDescent="0.3">
      <c r="A586" s="270" t="s">
        <v>636</v>
      </c>
      <c r="B586" s="270" t="s">
        <v>694</v>
      </c>
      <c r="C586">
        <f t="shared" si="42"/>
        <v>66</v>
      </c>
      <c r="D586">
        <f t="shared" ca="1" si="43"/>
        <v>0</v>
      </c>
      <c r="E586">
        <f t="shared" si="41"/>
        <v>2176</v>
      </c>
      <c r="F586" t="s">
        <v>724</v>
      </c>
    </row>
    <row r="587" spans="1:6" ht="15.6" x14ac:dyDescent="0.3">
      <c r="A587" s="270" t="s">
        <v>627</v>
      </c>
      <c r="B587" s="270" t="s">
        <v>693</v>
      </c>
      <c r="C587">
        <f t="shared" si="42"/>
        <v>77</v>
      </c>
      <c r="D587">
        <f t="shared" ca="1" si="43"/>
        <v>1</v>
      </c>
      <c r="E587">
        <f t="shared" si="41"/>
        <v>2151</v>
      </c>
      <c r="F587" t="s">
        <v>724</v>
      </c>
    </row>
    <row r="588" spans="1:6" ht="15.6" x14ac:dyDescent="0.3">
      <c r="A588" s="270" t="s">
        <v>641</v>
      </c>
      <c r="B588" s="270" t="s">
        <v>677</v>
      </c>
      <c r="C588">
        <f t="shared" si="42"/>
        <v>65</v>
      </c>
      <c r="D588">
        <f t="shared" ca="1" si="43"/>
        <v>0</v>
      </c>
      <c r="E588">
        <f t="shared" si="41"/>
        <v>2243</v>
      </c>
      <c r="F588" t="s">
        <v>724</v>
      </c>
    </row>
    <row r="589" spans="1:6" ht="15.6" x14ac:dyDescent="0.3">
      <c r="A589" s="270" t="s">
        <v>642</v>
      </c>
      <c r="B589" s="270" t="s">
        <v>677</v>
      </c>
      <c r="C589">
        <f t="shared" si="42"/>
        <v>80</v>
      </c>
      <c r="D589">
        <f t="shared" ca="1" si="43"/>
        <v>0</v>
      </c>
      <c r="E589">
        <f t="shared" si="41"/>
        <v>2218</v>
      </c>
      <c r="F589" t="s">
        <v>724</v>
      </c>
    </row>
    <row r="590" spans="1:6" ht="15.6" x14ac:dyDescent="0.3">
      <c r="A590" s="270" t="s">
        <v>649</v>
      </c>
      <c r="B590" s="270" t="s">
        <v>714</v>
      </c>
      <c r="C590">
        <f t="shared" si="42"/>
        <v>66</v>
      </c>
      <c r="D590">
        <f t="shared" ca="1" si="43"/>
        <v>0</v>
      </c>
      <c r="E590">
        <f t="shared" si="41"/>
        <v>2193</v>
      </c>
      <c r="F590" t="s">
        <v>724</v>
      </c>
    </row>
    <row r="591" spans="1:6" ht="15.6" x14ac:dyDescent="0.3">
      <c r="A591" s="270" t="s">
        <v>648</v>
      </c>
      <c r="B591" s="270" t="s">
        <v>676</v>
      </c>
      <c r="C591">
        <f t="shared" si="42"/>
        <v>68</v>
      </c>
      <c r="D591">
        <f t="shared" ca="1" si="43"/>
        <v>0</v>
      </c>
      <c r="E591">
        <f t="shared" si="41"/>
        <v>2168</v>
      </c>
      <c r="F591" t="s">
        <v>724</v>
      </c>
    </row>
    <row r="592" spans="1:6" ht="15.6" x14ac:dyDescent="0.3">
      <c r="A592" s="270" t="s">
        <v>621</v>
      </c>
      <c r="B592" s="270" t="s">
        <v>703</v>
      </c>
      <c r="C592">
        <f t="shared" si="42"/>
        <v>79</v>
      </c>
      <c r="D592">
        <f t="shared" ca="1" si="43"/>
        <v>0</v>
      </c>
      <c r="E592">
        <f t="shared" si="41"/>
        <v>2260</v>
      </c>
      <c r="F592" t="s">
        <v>724</v>
      </c>
    </row>
    <row r="593" spans="1:6" ht="15.6" x14ac:dyDescent="0.3">
      <c r="A593" s="270" t="s">
        <v>662</v>
      </c>
      <c r="B593" s="270" t="s">
        <v>697</v>
      </c>
      <c r="C593">
        <f t="shared" si="42"/>
        <v>67</v>
      </c>
      <c r="D593">
        <f t="shared" ca="1" si="43"/>
        <v>0</v>
      </c>
      <c r="E593">
        <f t="shared" si="41"/>
        <v>2235</v>
      </c>
      <c r="F593" t="s">
        <v>724</v>
      </c>
    </row>
    <row r="594" spans="1:6" ht="15.6" x14ac:dyDescent="0.3">
      <c r="A594" s="270" t="s">
        <v>634</v>
      </c>
      <c r="B594" s="270" t="s">
        <v>671</v>
      </c>
      <c r="C594">
        <f t="shared" si="42"/>
        <v>82</v>
      </c>
      <c r="D594">
        <f t="shared" ca="1" si="43"/>
        <v>0</v>
      </c>
      <c r="E594">
        <f t="shared" si="41"/>
        <v>2210</v>
      </c>
      <c r="F594" t="s">
        <v>724</v>
      </c>
    </row>
    <row r="595" spans="1:6" ht="15.6" x14ac:dyDescent="0.3">
      <c r="A595" s="270" t="s">
        <v>636</v>
      </c>
      <c r="B595" s="270" t="s">
        <v>568</v>
      </c>
      <c r="C595">
        <f t="shared" si="42"/>
        <v>68</v>
      </c>
      <c r="D595">
        <f t="shared" ca="1" si="43"/>
        <v>1</v>
      </c>
      <c r="E595">
        <f t="shared" si="41"/>
        <v>2185</v>
      </c>
      <c r="F595" t="s">
        <v>724</v>
      </c>
    </row>
    <row r="596" spans="1:6" ht="15.6" x14ac:dyDescent="0.3">
      <c r="A596" s="270" t="s">
        <v>631</v>
      </c>
      <c r="B596" s="270" t="s">
        <v>568</v>
      </c>
      <c r="C596">
        <f t="shared" si="42"/>
        <v>74</v>
      </c>
      <c r="D596">
        <f t="shared" ca="1" si="43"/>
        <v>0</v>
      </c>
      <c r="E596">
        <f t="shared" si="41"/>
        <v>2277</v>
      </c>
      <c r="F596" t="s">
        <v>724</v>
      </c>
    </row>
    <row r="597" spans="1:6" ht="15.6" x14ac:dyDescent="0.3">
      <c r="A597" s="270" t="s">
        <v>622</v>
      </c>
      <c r="B597" s="270" t="s">
        <v>680</v>
      </c>
      <c r="C597">
        <f t="shared" si="42"/>
        <v>72</v>
      </c>
      <c r="D597">
        <f t="shared" ca="1" si="43"/>
        <v>0</v>
      </c>
      <c r="E597">
        <f t="shared" si="41"/>
        <v>2252</v>
      </c>
      <c r="F597" t="s">
        <v>724</v>
      </c>
    </row>
    <row r="598" spans="1:6" ht="15.6" x14ac:dyDescent="0.3">
      <c r="A598" s="270" t="s">
        <v>663</v>
      </c>
      <c r="B598" s="270" t="s">
        <v>703</v>
      </c>
      <c r="C598">
        <f t="shared" si="42"/>
        <v>83</v>
      </c>
      <c r="D598">
        <f t="shared" ca="1" si="43"/>
        <v>0</v>
      </c>
      <c r="E598">
        <f t="shared" si="41"/>
        <v>2227</v>
      </c>
      <c r="F598" t="s">
        <v>724</v>
      </c>
    </row>
    <row r="599" spans="1:6" ht="15.6" x14ac:dyDescent="0.3">
      <c r="A599" s="270" t="s">
        <v>627</v>
      </c>
      <c r="B599" s="270" t="s">
        <v>699</v>
      </c>
      <c r="C599">
        <f t="shared" si="42"/>
        <v>81</v>
      </c>
      <c r="D599">
        <f t="shared" ca="1" si="43"/>
        <v>0</v>
      </c>
      <c r="E599">
        <f t="shared" si="41"/>
        <v>2202</v>
      </c>
      <c r="F599" t="s">
        <v>724</v>
      </c>
    </row>
    <row r="600" spans="1:6" ht="15.6" x14ac:dyDescent="0.3">
      <c r="A600" s="270" t="s">
        <v>634</v>
      </c>
      <c r="B600" s="270" t="s">
        <v>694</v>
      </c>
      <c r="C600">
        <f t="shared" si="42"/>
        <v>74</v>
      </c>
      <c r="D600">
        <f t="shared" ca="1" si="43"/>
        <v>1</v>
      </c>
      <c r="E600">
        <f t="shared" si="41"/>
        <v>2294</v>
      </c>
      <c r="F600" t="s">
        <v>724</v>
      </c>
    </row>
    <row r="601" spans="1:6" ht="15.6" x14ac:dyDescent="0.3">
      <c r="A601" s="270" t="s">
        <v>663</v>
      </c>
      <c r="B601" s="270" t="s">
        <v>672</v>
      </c>
      <c r="C601">
        <f t="shared" si="42"/>
        <v>64</v>
      </c>
      <c r="D601">
        <f t="shared" ca="1" si="43"/>
        <v>1</v>
      </c>
      <c r="E601">
        <f t="shared" si="41"/>
        <v>2269</v>
      </c>
      <c r="F601" t="s">
        <v>724</v>
      </c>
    </row>
    <row r="602" spans="1:6" ht="15.6" x14ac:dyDescent="0.3">
      <c r="A602" s="270" t="s">
        <v>631</v>
      </c>
      <c r="B602" s="270" t="s">
        <v>708</v>
      </c>
      <c r="C602">
        <f t="shared" si="42"/>
        <v>67</v>
      </c>
      <c r="D602">
        <f t="shared" ca="1" si="43"/>
        <v>1</v>
      </c>
      <c r="E602">
        <f t="shared" si="41"/>
        <v>2244</v>
      </c>
      <c r="F602" t="s">
        <v>724</v>
      </c>
    </row>
    <row r="603" spans="1:6" ht="15.6" x14ac:dyDescent="0.3">
      <c r="A603" s="270" t="s">
        <v>646</v>
      </c>
      <c r="B603" s="270" t="s">
        <v>707</v>
      </c>
      <c r="C603">
        <f t="shared" si="42"/>
        <v>69</v>
      </c>
      <c r="D603">
        <f t="shared" ca="1" si="43"/>
        <v>0</v>
      </c>
      <c r="E603">
        <f t="shared" si="41"/>
        <v>2219</v>
      </c>
      <c r="F603" t="s">
        <v>724</v>
      </c>
    </row>
    <row r="604" spans="1:6" ht="15.6" x14ac:dyDescent="0.3">
      <c r="A604" s="270" t="s">
        <v>638</v>
      </c>
      <c r="B604" s="270" t="s">
        <v>697</v>
      </c>
      <c r="C604">
        <f t="shared" si="42"/>
        <v>65</v>
      </c>
      <c r="D604">
        <f t="shared" ca="1" si="43"/>
        <v>1</v>
      </c>
      <c r="E604">
        <f t="shared" si="41"/>
        <v>2311</v>
      </c>
      <c r="F604" t="s">
        <v>724</v>
      </c>
    </row>
    <row r="605" spans="1:6" ht="15.6" x14ac:dyDescent="0.3">
      <c r="A605" s="270" t="s">
        <v>629</v>
      </c>
      <c r="B605" s="270" t="s">
        <v>676</v>
      </c>
      <c r="C605">
        <f t="shared" si="42"/>
        <v>68</v>
      </c>
      <c r="D605">
        <f t="shared" ca="1" si="43"/>
        <v>0</v>
      </c>
      <c r="E605">
        <f t="shared" si="41"/>
        <v>2286</v>
      </c>
      <c r="F605" t="s">
        <v>724</v>
      </c>
    </row>
    <row r="606" spans="1:6" ht="15.6" x14ac:dyDescent="0.3">
      <c r="A606" s="270" t="s">
        <v>623</v>
      </c>
      <c r="B606" s="270" t="s">
        <v>668</v>
      </c>
      <c r="C606">
        <f t="shared" si="42"/>
        <v>66</v>
      </c>
      <c r="D606">
        <f t="shared" ca="1" si="43"/>
        <v>0</v>
      </c>
      <c r="E606">
        <f t="shared" si="41"/>
        <v>2261</v>
      </c>
      <c r="F606" t="s">
        <v>724</v>
      </c>
    </row>
    <row r="607" spans="1:6" ht="15.6" x14ac:dyDescent="0.3">
      <c r="A607" s="270" t="s">
        <v>618</v>
      </c>
      <c r="B607" s="270" t="s">
        <v>686</v>
      </c>
      <c r="C607">
        <f t="shared" si="42"/>
        <v>69</v>
      </c>
      <c r="D607">
        <f t="shared" ca="1" si="43"/>
        <v>0</v>
      </c>
      <c r="E607">
        <f t="shared" si="41"/>
        <v>2236</v>
      </c>
      <c r="F607" t="s">
        <v>724</v>
      </c>
    </row>
    <row r="608" spans="1:6" ht="15.6" x14ac:dyDescent="0.3">
      <c r="A608" s="270" t="s">
        <v>663</v>
      </c>
      <c r="B608" s="270" t="s">
        <v>684</v>
      </c>
      <c r="C608">
        <f t="shared" si="42"/>
        <v>71</v>
      </c>
      <c r="D608">
        <f t="shared" ca="1" si="43"/>
        <v>1</v>
      </c>
      <c r="E608">
        <f t="shared" si="41"/>
        <v>2328</v>
      </c>
      <c r="F608" t="s">
        <v>724</v>
      </c>
    </row>
    <row r="609" spans="1:6" ht="15.6" x14ac:dyDescent="0.3">
      <c r="A609" s="270" t="s">
        <v>625</v>
      </c>
      <c r="B609" s="270" t="s">
        <v>697</v>
      </c>
      <c r="C609">
        <f t="shared" si="42"/>
        <v>82</v>
      </c>
      <c r="D609">
        <f t="shared" ca="1" si="43"/>
        <v>1</v>
      </c>
      <c r="E609">
        <f t="shared" ref="E609:E672" si="44">E605+17</f>
        <v>2303</v>
      </c>
      <c r="F609" t="s">
        <v>724</v>
      </c>
    </row>
    <row r="610" spans="1:6" ht="15.6" x14ac:dyDescent="0.3">
      <c r="A610" s="270" t="s">
        <v>620</v>
      </c>
      <c r="B610" s="270" t="s">
        <v>713</v>
      </c>
      <c r="C610">
        <f t="shared" si="42"/>
        <v>70</v>
      </c>
      <c r="D610">
        <f t="shared" ca="1" si="43"/>
        <v>1</v>
      </c>
      <c r="E610">
        <f t="shared" si="44"/>
        <v>2278</v>
      </c>
      <c r="F610" t="s">
        <v>724</v>
      </c>
    </row>
    <row r="611" spans="1:6" ht="15.6" x14ac:dyDescent="0.3">
      <c r="A611" s="270" t="s">
        <v>635</v>
      </c>
      <c r="B611" s="270" t="s">
        <v>689</v>
      </c>
      <c r="C611">
        <f t="shared" si="42"/>
        <v>85</v>
      </c>
      <c r="D611">
        <f t="shared" ca="1" si="43"/>
        <v>1</v>
      </c>
      <c r="E611">
        <f t="shared" si="44"/>
        <v>2253</v>
      </c>
      <c r="F611" t="s">
        <v>724</v>
      </c>
    </row>
    <row r="612" spans="1:6" ht="15.6" x14ac:dyDescent="0.3">
      <c r="A612" s="270" t="s">
        <v>661</v>
      </c>
      <c r="B612" s="270" t="s">
        <v>685</v>
      </c>
      <c r="C612">
        <f t="shared" si="42"/>
        <v>71</v>
      </c>
      <c r="D612">
        <f t="shared" ca="1" si="43"/>
        <v>0</v>
      </c>
      <c r="E612">
        <f t="shared" si="44"/>
        <v>2345</v>
      </c>
      <c r="F612" t="s">
        <v>724</v>
      </c>
    </row>
    <row r="613" spans="1:6" ht="15.6" x14ac:dyDescent="0.3">
      <c r="A613" s="270" t="s">
        <v>638</v>
      </c>
      <c r="B613" s="270" t="s">
        <v>710</v>
      </c>
      <c r="C613">
        <f t="shared" si="42"/>
        <v>73</v>
      </c>
      <c r="D613">
        <f t="shared" ca="1" si="43"/>
        <v>0</v>
      </c>
      <c r="E613">
        <f t="shared" si="44"/>
        <v>2320</v>
      </c>
      <c r="F613" t="s">
        <v>724</v>
      </c>
    </row>
    <row r="614" spans="1:6" ht="15.6" x14ac:dyDescent="0.3">
      <c r="A614" s="270" t="s">
        <v>642</v>
      </c>
      <c r="B614" s="270" t="s">
        <v>699</v>
      </c>
      <c r="C614">
        <f t="shared" si="42"/>
        <v>84</v>
      </c>
      <c r="D614">
        <f t="shared" ca="1" si="43"/>
        <v>0</v>
      </c>
      <c r="E614">
        <f t="shared" si="44"/>
        <v>2295</v>
      </c>
      <c r="F614" t="s">
        <v>724</v>
      </c>
    </row>
    <row r="615" spans="1:6" ht="15.6" x14ac:dyDescent="0.3">
      <c r="A615" s="270" t="s">
        <v>666</v>
      </c>
      <c r="B615" s="270" t="s">
        <v>694</v>
      </c>
      <c r="C615">
        <f t="shared" si="42"/>
        <v>72</v>
      </c>
      <c r="D615">
        <f t="shared" ca="1" si="43"/>
        <v>1</v>
      </c>
      <c r="E615">
        <f t="shared" si="44"/>
        <v>2270</v>
      </c>
      <c r="F615" t="s">
        <v>724</v>
      </c>
    </row>
    <row r="616" spans="1:6" ht="15.6" x14ac:dyDescent="0.3">
      <c r="A616" s="270" t="s">
        <v>619</v>
      </c>
      <c r="B616" s="270" t="s">
        <v>683</v>
      </c>
      <c r="C616">
        <f t="shared" si="42"/>
        <v>87</v>
      </c>
      <c r="D616">
        <f t="shared" ca="1" si="43"/>
        <v>0</v>
      </c>
      <c r="E616">
        <f t="shared" si="44"/>
        <v>2362</v>
      </c>
      <c r="F616" t="s">
        <v>724</v>
      </c>
    </row>
    <row r="617" spans="1:6" ht="15.6" x14ac:dyDescent="0.3">
      <c r="A617" s="270" t="s">
        <v>652</v>
      </c>
      <c r="B617" s="270" t="s">
        <v>694</v>
      </c>
      <c r="C617">
        <f t="shared" si="42"/>
        <v>87</v>
      </c>
      <c r="D617">
        <f t="shared" ca="1" si="43"/>
        <v>0</v>
      </c>
      <c r="E617">
        <f t="shared" si="44"/>
        <v>2337</v>
      </c>
      <c r="F617" t="s">
        <v>724</v>
      </c>
    </row>
    <row r="618" spans="1:6" ht="15.6" x14ac:dyDescent="0.3">
      <c r="A618" s="270" t="s">
        <v>635</v>
      </c>
      <c r="B618" s="270" t="s">
        <v>692</v>
      </c>
      <c r="C618">
        <f t="shared" si="42"/>
        <v>73</v>
      </c>
      <c r="D618">
        <f t="shared" ca="1" si="43"/>
        <v>1</v>
      </c>
      <c r="E618">
        <f t="shared" si="44"/>
        <v>2312</v>
      </c>
      <c r="F618" t="s">
        <v>724</v>
      </c>
    </row>
    <row r="619" spans="1:6" ht="15.6" x14ac:dyDescent="0.3">
      <c r="A619" s="270" t="s">
        <v>663</v>
      </c>
      <c r="B619" s="270" t="s">
        <v>568</v>
      </c>
      <c r="C619">
        <f t="shared" si="42"/>
        <v>79</v>
      </c>
      <c r="D619">
        <f t="shared" ca="1" si="43"/>
        <v>1</v>
      </c>
      <c r="E619">
        <f t="shared" si="44"/>
        <v>2287</v>
      </c>
      <c r="F619" t="s">
        <v>724</v>
      </c>
    </row>
    <row r="620" spans="1:6" ht="15.6" x14ac:dyDescent="0.3">
      <c r="A620" s="270" t="s">
        <v>635</v>
      </c>
      <c r="B620" s="270" t="s">
        <v>684</v>
      </c>
      <c r="C620">
        <f t="shared" si="42"/>
        <v>77</v>
      </c>
      <c r="D620">
        <f t="shared" ca="1" si="43"/>
        <v>1</v>
      </c>
      <c r="E620">
        <f t="shared" si="44"/>
        <v>2379</v>
      </c>
      <c r="F620" t="s">
        <v>724</v>
      </c>
    </row>
    <row r="621" spans="1:6" ht="15.6" x14ac:dyDescent="0.3">
      <c r="A621" s="270" t="s">
        <v>664</v>
      </c>
      <c r="B621" s="270" t="s">
        <v>708</v>
      </c>
      <c r="C621">
        <f t="shared" si="42"/>
        <v>88</v>
      </c>
      <c r="D621">
        <f t="shared" ca="1" si="43"/>
        <v>1</v>
      </c>
      <c r="E621">
        <f t="shared" si="44"/>
        <v>2354</v>
      </c>
      <c r="F621" t="s">
        <v>724</v>
      </c>
    </row>
    <row r="622" spans="1:6" ht="15.6" x14ac:dyDescent="0.3">
      <c r="A622" s="270" t="s">
        <v>665</v>
      </c>
      <c r="B622" s="270" t="s">
        <v>714</v>
      </c>
      <c r="C622">
        <f t="shared" si="42"/>
        <v>86</v>
      </c>
      <c r="D622">
        <f t="shared" ca="1" si="43"/>
        <v>0</v>
      </c>
      <c r="E622">
        <f t="shared" si="44"/>
        <v>2329</v>
      </c>
      <c r="F622" t="s">
        <v>724</v>
      </c>
    </row>
    <row r="623" spans="1:6" ht="15.6" x14ac:dyDescent="0.3">
      <c r="A623" s="270" t="s">
        <v>631</v>
      </c>
      <c r="B623" s="270" t="s">
        <v>681</v>
      </c>
      <c r="C623">
        <f t="shared" si="42"/>
        <v>79</v>
      </c>
      <c r="D623">
        <f t="shared" ca="1" si="43"/>
        <v>1</v>
      </c>
      <c r="E623">
        <f t="shared" si="44"/>
        <v>2304</v>
      </c>
      <c r="F623" t="s">
        <v>724</v>
      </c>
    </row>
    <row r="624" spans="1:6" ht="15.6" x14ac:dyDescent="0.3">
      <c r="A624" s="270" t="s">
        <v>620</v>
      </c>
      <c r="B624" s="270" t="s">
        <v>706</v>
      </c>
      <c r="C624">
        <f t="shared" si="42"/>
        <v>69</v>
      </c>
      <c r="D624">
        <f t="shared" ca="1" si="43"/>
        <v>1</v>
      </c>
      <c r="E624">
        <f t="shared" si="44"/>
        <v>2396</v>
      </c>
      <c r="F624" t="s">
        <v>724</v>
      </c>
    </row>
    <row r="625" spans="1:6" ht="15.6" x14ac:dyDescent="0.3">
      <c r="A625" s="270" t="s">
        <v>650</v>
      </c>
      <c r="B625" s="270" t="s">
        <v>701</v>
      </c>
      <c r="C625">
        <f t="shared" si="42"/>
        <v>72</v>
      </c>
      <c r="D625">
        <f t="shared" ca="1" si="43"/>
        <v>1</v>
      </c>
      <c r="E625">
        <f t="shared" si="44"/>
        <v>2371</v>
      </c>
      <c r="F625" t="s">
        <v>724</v>
      </c>
    </row>
    <row r="626" spans="1:6" ht="15.6" x14ac:dyDescent="0.3">
      <c r="A626" s="270" t="s">
        <v>624</v>
      </c>
      <c r="B626" s="270" t="s">
        <v>568</v>
      </c>
      <c r="C626">
        <f t="shared" si="42"/>
        <v>74</v>
      </c>
      <c r="D626">
        <f t="shared" ca="1" si="43"/>
        <v>1</v>
      </c>
      <c r="E626">
        <f t="shared" si="44"/>
        <v>2346</v>
      </c>
      <c r="F626" t="s">
        <v>724</v>
      </c>
    </row>
    <row r="627" spans="1:6" ht="15.6" x14ac:dyDescent="0.3">
      <c r="A627" s="270" t="s">
        <v>658</v>
      </c>
      <c r="B627" s="270" t="s">
        <v>700</v>
      </c>
      <c r="C627">
        <f t="shared" si="42"/>
        <v>70</v>
      </c>
      <c r="D627">
        <f t="shared" ca="1" si="43"/>
        <v>0</v>
      </c>
      <c r="E627">
        <f t="shared" si="44"/>
        <v>2321</v>
      </c>
      <c r="F627" t="s">
        <v>724</v>
      </c>
    </row>
    <row r="628" spans="1:6" ht="15.6" x14ac:dyDescent="0.3">
      <c r="A628" s="270" t="s">
        <v>664</v>
      </c>
      <c r="B628" s="270" t="s">
        <v>688</v>
      </c>
      <c r="C628">
        <f t="shared" si="42"/>
        <v>73</v>
      </c>
      <c r="D628">
        <f t="shared" ca="1" si="43"/>
        <v>0</v>
      </c>
      <c r="E628">
        <f t="shared" si="44"/>
        <v>2413</v>
      </c>
      <c r="F628" t="s">
        <v>724</v>
      </c>
    </row>
    <row r="629" spans="1:6" ht="15.6" x14ac:dyDescent="0.3">
      <c r="A629" s="270" t="s">
        <v>639</v>
      </c>
      <c r="B629" s="270" t="s">
        <v>703</v>
      </c>
      <c r="C629">
        <f t="shared" si="42"/>
        <v>71</v>
      </c>
      <c r="D629">
        <f t="shared" ca="1" si="43"/>
        <v>1</v>
      </c>
      <c r="E629">
        <f t="shared" si="44"/>
        <v>2388</v>
      </c>
      <c r="F629" t="s">
        <v>724</v>
      </c>
    </row>
    <row r="630" spans="1:6" ht="15.6" x14ac:dyDescent="0.3">
      <c r="A630" s="270" t="s">
        <v>657</v>
      </c>
      <c r="B630" s="270" t="s">
        <v>678</v>
      </c>
      <c r="C630">
        <f t="shared" si="42"/>
        <v>74</v>
      </c>
      <c r="D630">
        <f t="shared" ca="1" si="43"/>
        <v>1</v>
      </c>
      <c r="E630">
        <f t="shared" si="44"/>
        <v>2363</v>
      </c>
      <c r="F630" t="s">
        <v>724</v>
      </c>
    </row>
    <row r="631" spans="1:6" ht="15.6" x14ac:dyDescent="0.3">
      <c r="A631" s="270" t="s">
        <v>630</v>
      </c>
      <c r="B631" s="270" t="s">
        <v>679</v>
      </c>
      <c r="C631">
        <f t="shared" si="42"/>
        <v>76</v>
      </c>
      <c r="D631">
        <f t="shared" ca="1" si="43"/>
        <v>1</v>
      </c>
      <c r="E631">
        <f t="shared" si="44"/>
        <v>2338</v>
      </c>
      <c r="F631" t="s">
        <v>724</v>
      </c>
    </row>
    <row r="632" spans="1:6" ht="15.6" x14ac:dyDescent="0.3">
      <c r="A632" s="270" t="s">
        <v>621</v>
      </c>
      <c r="B632" s="270" t="s">
        <v>684</v>
      </c>
      <c r="C632">
        <f t="shared" si="42"/>
        <v>87</v>
      </c>
      <c r="D632">
        <f t="shared" ca="1" si="43"/>
        <v>1</v>
      </c>
      <c r="E632">
        <f t="shared" si="44"/>
        <v>2430</v>
      </c>
      <c r="F632" t="s">
        <v>724</v>
      </c>
    </row>
    <row r="633" spans="1:6" ht="15.6" x14ac:dyDescent="0.3">
      <c r="A633" s="270" t="s">
        <v>664</v>
      </c>
      <c r="B633" s="270" t="s">
        <v>714</v>
      </c>
      <c r="C633">
        <f t="shared" si="42"/>
        <v>75</v>
      </c>
      <c r="D633">
        <f t="shared" ca="1" si="43"/>
        <v>1</v>
      </c>
      <c r="E633">
        <f t="shared" si="44"/>
        <v>2405</v>
      </c>
      <c r="F633" t="s">
        <v>724</v>
      </c>
    </row>
    <row r="634" spans="1:6" ht="15.6" x14ac:dyDescent="0.3">
      <c r="A634" s="270" t="s">
        <v>621</v>
      </c>
      <c r="B634" s="270" t="s">
        <v>670</v>
      </c>
      <c r="C634">
        <f t="shared" si="42"/>
        <v>90</v>
      </c>
      <c r="D634">
        <f t="shared" ca="1" si="43"/>
        <v>0</v>
      </c>
      <c r="E634">
        <f t="shared" si="44"/>
        <v>2380</v>
      </c>
      <c r="F634" t="s">
        <v>724</v>
      </c>
    </row>
    <row r="635" spans="1:6" ht="15.6" x14ac:dyDescent="0.3">
      <c r="A635" s="270" t="s">
        <v>648</v>
      </c>
      <c r="B635" s="270" t="s">
        <v>699</v>
      </c>
      <c r="C635">
        <f t="shared" si="42"/>
        <v>76</v>
      </c>
      <c r="D635">
        <f t="shared" ca="1" si="43"/>
        <v>0</v>
      </c>
      <c r="E635">
        <f t="shared" si="44"/>
        <v>2355</v>
      </c>
      <c r="F635" t="s">
        <v>724</v>
      </c>
    </row>
    <row r="636" spans="1:6" ht="15.6" x14ac:dyDescent="0.3">
      <c r="A636" s="270" t="s">
        <v>620</v>
      </c>
      <c r="B636" s="270" t="s">
        <v>695</v>
      </c>
      <c r="C636">
        <f t="shared" si="42"/>
        <v>78</v>
      </c>
      <c r="D636">
        <f t="shared" ca="1" si="43"/>
        <v>0</v>
      </c>
      <c r="E636">
        <f t="shared" si="44"/>
        <v>2447</v>
      </c>
      <c r="F636" t="s">
        <v>724</v>
      </c>
    </row>
    <row r="637" spans="1:6" ht="15.6" x14ac:dyDescent="0.3">
      <c r="A637" s="270" t="s">
        <v>648</v>
      </c>
      <c r="B637" s="270" t="s">
        <v>673</v>
      </c>
      <c r="C637">
        <f t="shared" ref="C637:C700" si="45">C438+4</f>
        <v>89</v>
      </c>
      <c r="D637">
        <f t="shared" ca="1" si="43"/>
        <v>0</v>
      </c>
      <c r="E637">
        <f t="shared" si="44"/>
        <v>2422</v>
      </c>
      <c r="F637" t="s">
        <v>724</v>
      </c>
    </row>
    <row r="638" spans="1:6" ht="15.6" x14ac:dyDescent="0.3">
      <c r="A638" s="270" t="s">
        <v>656</v>
      </c>
      <c r="B638" s="270" t="s">
        <v>700</v>
      </c>
      <c r="C638">
        <f t="shared" si="45"/>
        <v>77</v>
      </c>
      <c r="D638">
        <f t="shared" ca="1" si="43"/>
        <v>0</v>
      </c>
      <c r="E638">
        <f t="shared" si="44"/>
        <v>2397</v>
      </c>
      <c r="F638" t="s">
        <v>724</v>
      </c>
    </row>
    <row r="639" spans="1:6" ht="15.6" x14ac:dyDescent="0.3">
      <c r="A639" s="270" t="s">
        <v>652</v>
      </c>
      <c r="B639" s="270" t="s">
        <v>701</v>
      </c>
      <c r="C639">
        <f t="shared" si="45"/>
        <v>92</v>
      </c>
      <c r="D639">
        <f t="shared" ca="1" si="43"/>
        <v>0</v>
      </c>
      <c r="E639">
        <f t="shared" si="44"/>
        <v>2372</v>
      </c>
      <c r="F639" t="s">
        <v>724</v>
      </c>
    </row>
    <row r="640" spans="1:6" ht="15.6" x14ac:dyDescent="0.3">
      <c r="A640" s="270" t="s">
        <v>618</v>
      </c>
      <c r="B640" s="270" t="s">
        <v>702</v>
      </c>
      <c r="C640">
        <f t="shared" si="45"/>
        <v>78</v>
      </c>
      <c r="D640">
        <f t="shared" ca="1" si="43"/>
        <v>1</v>
      </c>
      <c r="E640">
        <f t="shared" si="44"/>
        <v>2464</v>
      </c>
      <c r="F640" t="s">
        <v>724</v>
      </c>
    </row>
    <row r="641" spans="1:6" ht="15.6" x14ac:dyDescent="0.3">
      <c r="A641" s="270" t="s">
        <v>626</v>
      </c>
      <c r="B641" s="270" t="s">
        <v>568</v>
      </c>
      <c r="C641">
        <f t="shared" si="45"/>
        <v>84</v>
      </c>
      <c r="D641">
        <f t="shared" ca="1" si="43"/>
        <v>1</v>
      </c>
      <c r="E641">
        <f t="shared" si="44"/>
        <v>2439</v>
      </c>
      <c r="F641" t="s">
        <v>724</v>
      </c>
    </row>
    <row r="642" spans="1:6" ht="15.6" x14ac:dyDescent="0.3">
      <c r="A642" s="270" t="s">
        <v>626</v>
      </c>
      <c r="B642" s="270" t="s">
        <v>680</v>
      </c>
      <c r="C642">
        <f t="shared" si="45"/>
        <v>82</v>
      </c>
      <c r="D642">
        <f t="shared" ca="1" si="43"/>
        <v>0</v>
      </c>
      <c r="E642">
        <f t="shared" si="44"/>
        <v>2414</v>
      </c>
      <c r="F642" t="s">
        <v>724</v>
      </c>
    </row>
    <row r="643" spans="1:6" ht="15.6" x14ac:dyDescent="0.3">
      <c r="A643" s="270" t="s">
        <v>630</v>
      </c>
      <c r="B643" s="270" t="s">
        <v>691</v>
      </c>
      <c r="C643">
        <f t="shared" si="45"/>
        <v>93</v>
      </c>
      <c r="D643">
        <f t="shared" ref="D643:D706" ca="1" si="46">RANDBETWEEN(0,1)</f>
        <v>0</v>
      </c>
      <c r="E643">
        <f t="shared" si="44"/>
        <v>2389</v>
      </c>
      <c r="F643" t="s">
        <v>724</v>
      </c>
    </row>
    <row r="644" spans="1:6" ht="15.6" x14ac:dyDescent="0.3">
      <c r="A644" s="270" t="s">
        <v>620</v>
      </c>
      <c r="B644" s="270" t="s">
        <v>675</v>
      </c>
      <c r="C644">
        <f t="shared" si="45"/>
        <v>91</v>
      </c>
      <c r="D644">
        <f t="shared" ca="1" si="46"/>
        <v>1</v>
      </c>
      <c r="E644">
        <f t="shared" si="44"/>
        <v>2481</v>
      </c>
      <c r="F644" t="s">
        <v>724</v>
      </c>
    </row>
    <row r="645" spans="1:6" ht="15.6" x14ac:dyDescent="0.3">
      <c r="A645" s="270" t="s">
        <v>650</v>
      </c>
      <c r="B645" s="270" t="s">
        <v>682</v>
      </c>
      <c r="C645">
        <f t="shared" si="45"/>
        <v>84</v>
      </c>
      <c r="D645">
        <f t="shared" ca="1" si="46"/>
        <v>0</v>
      </c>
      <c r="E645">
        <f t="shared" si="44"/>
        <v>2456</v>
      </c>
      <c r="F645" t="s">
        <v>724</v>
      </c>
    </row>
    <row r="646" spans="1:6" ht="15.6" x14ac:dyDescent="0.3">
      <c r="A646" s="270" t="s">
        <v>626</v>
      </c>
      <c r="B646" s="270" t="s">
        <v>675</v>
      </c>
      <c r="C646">
        <f t="shared" si="45"/>
        <v>74</v>
      </c>
      <c r="D646">
        <f t="shared" ca="1" si="46"/>
        <v>1</v>
      </c>
      <c r="E646">
        <f t="shared" si="44"/>
        <v>2431</v>
      </c>
      <c r="F646" t="s">
        <v>724</v>
      </c>
    </row>
    <row r="647" spans="1:6" ht="15.6" x14ac:dyDescent="0.3">
      <c r="A647" s="270" t="s">
        <v>618</v>
      </c>
      <c r="B647" s="270" t="s">
        <v>669</v>
      </c>
      <c r="C647">
        <f t="shared" si="45"/>
        <v>77</v>
      </c>
      <c r="D647">
        <f t="shared" ca="1" si="46"/>
        <v>0</v>
      </c>
      <c r="E647">
        <f t="shared" si="44"/>
        <v>2406</v>
      </c>
      <c r="F647" t="s">
        <v>724</v>
      </c>
    </row>
    <row r="648" spans="1:6" ht="15.6" x14ac:dyDescent="0.3">
      <c r="A648" s="270" t="s">
        <v>630</v>
      </c>
      <c r="B648" s="270" t="s">
        <v>682</v>
      </c>
      <c r="C648">
        <f t="shared" si="45"/>
        <v>79</v>
      </c>
      <c r="D648">
        <f t="shared" ca="1" si="46"/>
        <v>1</v>
      </c>
      <c r="E648">
        <f t="shared" si="44"/>
        <v>2498</v>
      </c>
      <c r="F648" t="s">
        <v>724</v>
      </c>
    </row>
    <row r="649" spans="1:6" ht="15.6" x14ac:dyDescent="0.3">
      <c r="A649" s="270" t="s">
        <v>650</v>
      </c>
      <c r="B649" s="270" t="s">
        <v>706</v>
      </c>
      <c r="C649">
        <f t="shared" si="45"/>
        <v>79</v>
      </c>
      <c r="D649">
        <f t="shared" ca="1" si="46"/>
        <v>0</v>
      </c>
      <c r="E649">
        <f t="shared" si="44"/>
        <v>2473</v>
      </c>
      <c r="F649" t="s">
        <v>724</v>
      </c>
    </row>
    <row r="650" spans="1:6" ht="15.6" x14ac:dyDescent="0.3">
      <c r="A650" s="270" t="s">
        <v>662</v>
      </c>
      <c r="B650" s="270" t="s">
        <v>678</v>
      </c>
      <c r="C650">
        <f t="shared" si="45"/>
        <v>75</v>
      </c>
      <c r="D650">
        <f t="shared" ca="1" si="46"/>
        <v>1</v>
      </c>
      <c r="E650">
        <f t="shared" si="44"/>
        <v>2448</v>
      </c>
      <c r="F650" t="s">
        <v>724</v>
      </c>
    </row>
    <row r="651" spans="1:6" ht="15.6" x14ac:dyDescent="0.3">
      <c r="A651" s="270" t="s">
        <v>642</v>
      </c>
      <c r="B651" s="270" t="s">
        <v>678</v>
      </c>
      <c r="C651">
        <f t="shared" si="45"/>
        <v>78</v>
      </c>
      <c r="D651">
        <f t="shared" ca="1" si="46"/>
        <v>0</v>
      </c>
      <c r="E651">
        <f t="shared" si="44"/>
        <v>2423</v>
      </c>
      <c r="F651" t="s">
        <v>724</v>
      </c>
    </row>
    <row r="652" spans="1:6" ht="15.6" x14ac:dyDescent="0.3">
      <c r="A652" s="270" t="s">
        <v>621</v>
      </c>
      <c r="B652" s="270" t="s">
        <v>673</v>
      </c>
      <c r="C652">
        <f t="shared" si="45"/>
        <v>76</v>
      </c>
      <c r="D652">
        <f t="shared" ca="1" si="46"/>
        <v>0</v>
      </c>
      <c r="E652">
        <f t="shared" si="44"/>
        <v>2515</v>
      </c>
      <c r="F652" t="s">
        <v>724</v>
      </c>
    </row>
    <row r="653" spans="1:6" ht="15.6" x14ac:dyDescent="0.3">
      <c r="A653" s="270" t="s">
        <v>646</v>
      </c>
      <c r="B653" s="270" t="s">
        <v>693</v>
      </c>
      <c r="C653">
        <f t="shared" si="45"/>
        <v>79</v>
      </c>
      <c r="D653">
        <f t="shared" ca="1" si="46"/>
        <v>0</v>
      </c>
      <c r="E653">
        <f t="shared" si="44"/>
        <v>2490</v>
      </c>
      <c r="F653" t="s">
        <v>724</v>
      </c>
    </row>
    <row r="654" spans="1:6" ht="15.6" x14ac:dyDescent="0.3">
      <c r="A654" s="270" t="s">
        <v>650</v>
      </c>
      <c r="B654" s="270" t="s">
        <v>694</v>
      </c>
      <c r="C654">
        <f t="shared" si="45"/>
        <v>81</v>
      </c>
      <c r="D654">
        <f t="shared" ca="1" si="46"/>
        <v>0</v>
      </c>
      <c r="E654">
        <f t="shared" si="44"/>
        <v>2465</v>
      </c>
      <c r="F654" t="s">
        <v>724</v>
      </c>
    </row>
    <row r="655" spans="1:6" ht="15.6" x14ac:dyDescent="0.3">
      <c r="A655" s="270" t="s">
        <v>624</v>
      </c>
      <c r="B655" s="270" t="s">
        <v>697</v>
      </c>
      <c r="C655">
        <f t="shared" si="45"/>
        <v>92</v>
      </c>
      <c r="D655">
        <f t="shared" ca="1" si="46"/>
        <v>1</v>
      </c>
      <c r="E655">
        <f t="shared" si="44"/>
        <v>2440</v>
      </c>
      <c r="F655" t="s">
        <v>724</v>
      </c>
    </row>
    <row r="656" spans="1:6" ht="15.6" x14ac:dyDescent="0.3">
      <c r="A656" s="270" t="s">
        <v>631</v>
      </c>
      <c r="B656" s="270" t="s">
        <v>702</v>
      </c>
      <c r="C656">
        <f t="shared" si="45"/>
        <v>80</v>
      </c>
      <c r="D656">
        <f t="shared" ca="1" si="46"/>
        <v>1</v>
      </c>
      <c r="E656">
        <f t="shared" si="44"/>
        <v>2532</v>
      </c>
      <c r="F656" t="s">
        <v>724</v>
      </c>
    </row>
    <row r="657" spans="1:6" ht="15.6" x14ac:dyDescent="0.3">
      <c r="A657" s="270" t="s">
        <v>654</v>
      </c>
      <c r="B657" s="270" t="s">
        <v>679</v>
      </c>
      <c r="C657">
        <f t="shared" si="45"/>
        <v>95</v>
      </c>
      <c r="D657">
        <f t="shared" ca="1" si="46"/>
        <v>0</v>
      </c>
      <c r="E657">
        <f t="shared" si="44"/>
        <v>2507</v>
      </c>
      <c r="F657" t="s">
        <v>724</v>
      </c>
    </row>
    <row r="658" spans="1:6" ht="15.6" x14ac:dyDescent="0.3">
      <c r="A658" s="270" t="s">
        <v>648</v>
      </c>
      <c r="B658" s="270" t="s">
        <v>669</v>
      </c>
      <c r="C658">
        <f t="shared" si="45"/>
        <v>81</v>
      </c>
      <c r="D658">
        <f t="shared" ca="1" si="46"/>
        <v>0</v>
      </c>
      <c r="E658">
        <f t="shared" si="44"/>
        <v>2482</v>
      </c>
      <c r="F658" t="s">
        <v>724</v>
      </c>
    </row>
    <row r="659" spans="1:6" ht="15.6" x14ac:dyDescent="0.3">
      <c r="A659" s="270" t="s">
        <v>666</v>
      </c>
      <c r="B659" s="270" t="s">
        <v>690</v>
      </c>
      <c r="C659">
        <f t="shared" si="45"/>
        <v>83</v>
      </c>
      <c r="D659">
        <f t="shared" ca="1" si="46"/>
        <v>1</v>
      </c>
      <c r="E659">
        <f t="shared" si="44"/>
        <v>2457</v>
      </c>
      <c r="F659" t="s">
        <v>724</v>
      </c>
    </row>
    <row r="660" spans="1:6" ht="15.6" x14ac:dyDescent="0.3">
      <c r="A660" s="270" t="s">
        <v>656</v>
      </c>
      <c r="B660" s="270" t="s">
        <v>715</v>
      </c>
      <c r="C660">
        <f t="shared" si="45"/>
        <v>94</v>
      </c>
      <c r="D660">
        <f t="shared" ca="1" si="46"/>
        <v>0</v>
      </c>
      <c r="E660">
        <f t="shared" si="44"/>
        <v>2549</v>
      </c>
      <c r="F660" t="s">
        <v>724</v>
      </c>
    </row>
    <row r="661" spans="1:6" ht="15.6" x14ac:dyDescent="0.3">
      <c r="A661" s="270" t="s">
        <v>664</v>
      </c>
      <c r="B661" s="270" t="s">
        <v>703</v>
      </c>
      <c r="C661">
        <f t="shared" si="45"/>
        <v>82</v>
      </c>
      <c r="D661">
        <f t="shared" ca="1" si="46"/>
        <v>1</v>
      </c>
      <c r="E661">
        <f t="shared" si="44"/>
        <v>2524</v>
      </c>
      <c r="F661" t="s">
        <v>724</v>
      </c>
    </row>
    <row r="662" spans="1:6" ht="15.6" x14ac:dyDescent="0.3">
      <c r="A662" s="270" t="s">
        <v>624</v>
      </c>
      <c r="B662" s="270" t="s">
        <v>670</v>
      </c>
      <c r="C662">
        <f t="shared" si="45"/>
        <v>97</v>
      </c>
      <c r="D662">
        <f t="shared" ca="1" si="46"/>
        <v>1</v>
      </c>
      <c r="E662">
        <f t="shared" si="44"/>
        <v>2499</v>
      </c>
      <c r="F662" t="s">
        <v>724</v>
      </c>
    </row>
    <row r="663" spans="1:6" ht="15.6" x14ac:dyDescent="0.3">
      <c r="A663" s="270" t="s">
        <v>633</v>
      </c>
      <c r="B663" s="270" t="s">
        <v>697</v>
      </c>
      <c r="C663">
        <f t="shared" si="45"/>
        <v>83</v>
      </c>
      <c r="D663">
        <f t="shared" ca="1" si="46"/>
        <v>1</v>
      </c>
      <c r="E663">
        <f t="shared" si="44"/>
        <v>2474</v>
      </c>
      <c r="F663" t="s">
        <v>724</v>
      </c>
    </row>
    <row r="664" spans="1:6" ht="15.6" x14ac:dyDescent="0.3">
      <c r="A664" s="270" t="s">
        <v>658</v>
      </c>
      <c r="B664" s="270" t="s">
        <v>568</v>
      </c>
      <c r="C664">
        <f t="shared" si="45"/>
        <v>89</v>
      </c>
      <c r="D664">
        <f t="shared" ca="1" si="46"/>
        <v>0</v>
      </c>
      <c r="E664">
        <f t="shared" si="44"/>
        <v>2566</v>
      </c>
      <c r="F664" t="s">
        <v>724</v>
      </c>
    </row>
    <row r="665" spans="1:6" ht="15.6" x14ac:dyDescent="0.3">
      <c r="A665" s="270" t="s">
        <v>630</v>
      </c>
      <c r="B665" s="270" t="s">
        <v>670</v>
      </c>
      <c r="C665">
        <f t="shared" si="45"/>
        <v>87</v>
      </c>
      <c r="D665">
        <f t="shared" ca="1" si="46"/>
        <v>1</v>
      </c>
      <c r="E665">
        <f t="shared" si="44"/>
        <v>2541</v>
      </c>
      <c r="F665" t="s">
        <v>724</v>
      </c>
    </row>
    <row r="666" spans="1:6" ht="15.6" x14ac:dyDescent="0.3">
      <c r="A666" s="270" t="s">
        <v>651</v>
      </c>
      <c r="B666" s="270" t="s">
        <v>703</v>
      </c>
      <c r="C666">
        <f t="shared" si="45"/>
        <v>98</v>
      </c>
      <c r="D666">
        <f t="shared" ca="1" si="46"/>
        <v>1</v>
      </c>
      <c r="E666">
        <f t="shared" si="44"/>
        <v>2516</v>
      </c>
      <c r="F666" t="s">
        <v>724</v>
      </c>
    </row>
    <row r="667" spans="1:6" ht="15.6" x14ac:dyDescent="0.3">
      <c r="A667" s="270" t="s">
        <v>635</v>
      </c>
      <c r="B667" s="270" t="s">
        <v>708</v>
      </c>
      <c r="C667">
        <f t="shared" si="45"/>
        <v>96</v>
      </c>
      <c r="D667">
        <f t="shared" ca="1" si="46"/>
        <v>0</v>
      </c>
      <c r="E667">
        <f t="shared" si="44"/>
        <v>2491</v>
      </c>
      <c r="F667" t="s">
        <v>724</v>
      </c>
    </row>
    <row r="668" spans="1:6" ht="15.6" x14ac:dyDescent="0.3">
      <c r="A668" s="270" t="s">
        <v>663</v>
      </c>
      <c r="B668" s="270" t="s">
        <v>685</v>
      </c>
      <c r="C668">
        <f t="shared" si="45"/>
        <v>89</v>
      </c>
      <c r="D668">
        <f t="shared" ca="1" si="46"/>
        <v>1</v>
      </c>
      <c r="E668">
        <f t="shared" si="44"/>
        <v>2583</v>
      </c>
      <c r="F668" t="s">
        <v>724</v>
      </c>
    </row>
    <row r="669" spans="1:6" ht="15.6" x14ac:dyDescent="0.3">
      <c r="A669" s="270" t="s">
        <v>648</v>
      </c>
      <c r="B669" s="270" t="s">
        <v>696</v>
      </c>
      <c r="C669">
        <f t="shared" si="45"/>
        <v>79</v>
      </c>
      <c r="D669">
        <f t="shared" ca="1" si="46"/>
        <v>0</v>
      </c>
      <c r="E669">
        <f t="shared" si="44"/>
        <v>2558</v>
      </c>
      <c r="F669" t="s">
        <v>724</v>
      </c>
    </row>
    <row r="670" spans="1:6" ht="15.6" x14ac:dyDescent="0.3">
      <c r="A670" s="270" t="s">
        <v>656</v>
      </c>
      <c r="B670" s="270" t="s">
        <v>705</v>
      </c>
      <c r="C670">
        <f t="shared" si="45"/>
        <v>82</v>
      </c>
      <c r="D670">
        <f t="shared" ca="1" si="46"/>
        <v>1</v>
      </c>
      <c r="E670">
        <f t="shared" si="44"/>
        <v>2533</v>
      </c>
      <c r="F670" t="s">
        <v>724</v>
      </c>
    </row>
    <row r="671" spans="1:6" ht="15.6" x14ac:dyDescent="0.3">
      <c r="A671" s="270" t="s">
        <v>623</v>
      </c>
      <c r="B671" s="270" t="s">
        <v>667</v>
      </c>
      <c r="C671">
        <f t="shared" si="45"/>
        <v>84</v>
      </c>
      <c r="D671">
        <f t="shared" ca="1" si="46"/>
        <v>1</v>
      </c>
      <c r="E671">
        <f t="shared" si="44"/>
        <v>2508</v>
      </c>
      <c r="F671" t="s">
        <v>724</v>
      </c>
    </row>
    <row r="672" spans="1:6" ht="15.6" x14ac:dyDescent="0.3">
      <c r="A672" s="270" t="s">
        <v>651</v>
      </c>
      <c r="B672" s="270" t="s">
        <v>712</v>
      </c>
      <c r="C672">
        <f t="shared" si="45"/>
        <v>80</v>
      </c>
      <c r="D672">
        <f t="shared" ca="1" si="46"/>
        <v>1</v>
      </c>
      <c r="E672">
        <f t="shared" si="44"/>
        <v>2600</v>
      </c>
      <c r="F672" t="s">
        <v>724</v>
      </c>
    </row>
    <row r="673" spans="1:6" ht="15.6" x14ac:dyDescent="0.3">
      <c r="A673" s="270" t="s">
        <v>657</v>
      </c>
      <c r="B673" s="270" t="s">
        <v>694</v>
      </c>
      <c r="C673">
        <f t="shared" si="45"/>
        <v>83</v>
      </c>
      <c r="D673">
        <f t="shared" ca="1" si="46"/>
        <v>0</v>
      </c>
      <c r="E673">
        <f t="shared" ref="E673:E714" si="47">E669+17</f>
        <v>2575</v>
      </c>
      <c r="F673" t="s">
        <v>724</v>
      </c>
    </row>
    <row r="674" spans="1:6" ht="15.6" x14ac:dyDescent="0.3">
      <c r="A674" s="270" t="s">
        <v>619</v>
      </c>
      <c r="B674" s="270" t="s">
        <v>707</v>
      </c>
      <c r="C674">
        <f t="shared" si="45"/>
        <v>81</v>
      </c>
      <c r="D674">
        <f t="shared" ca="1" si="46"/>
        <v>1</v>
      </c>
      <c r="E674">
        <f t="shared" si="47"/>
        <v>2550</v>
      </c>
      <c r="F674" t="s">
        <v>724</v>
      </c>
    </row>
    <row r="675" spans="1:6" ht="15.6" x14ac:dyDescent="0.3">
      <c r="A675" s="270" t="s">
        <v>642</v>
      </c>
      <c r="B675" s="270" t="s">
        <v>701</v>
      </c>
      <c r="C675">
        <f t="shared" si="45"/>
        <v>84</v>
      </c>
      <c r="D675">
        <f t="shared" ca="1" si="46"/>
        <v>0</v>
      </c>
      <c r="E675">
        <f t="shared" si="47"/>
        <v>2525</v>
      </c>
      <c r="F675" t="s">
        <v>724</v>
      </c>
    </row>
    <row r="676" spans="1:6" ht="15.6" x14ac:dyDescent="0.3">
      <c r="A676" s="270" t="s">
        <v>629</v>
      </c>
      <c r="B676" s="270" t="s">
        <v>703</v>
      </c>
      <c r="C676">
        <f t="shared" si="45"/>
        <v>86</v>
      </c>
      <c r="D676">
        <f t="shared" ca="1" si="46"/>
        <v>0</v>
      </c>
      <c r="E676">
        <f t="shared" si="47"/>
        <v>2617</v>
      </c>
      <c r="F676" t="s">
        <v>724</v>
      </c>
    </row>
    <row r="677" spans="1:6" ht="15.6" x14ac:dyDescent="0.3">
      <c r="A677" s="270" t="s">
        <v>624</v>
      </c>
      <c r="B677" s="270" t="s">
        <v>699</v>
      </c>
      <c r="C677">
        <f t="shared" si="45"/>
        <v>97</v>
      </c>
      <c r="D677">
        <f t="shared" ca="1" si="46"/>
        <v>1</v>
      </c>
      <c r="E677">
        <f t="shared" si="47"/>
        <v>2592</v>
      </c>
      <c r="F677" t="s">
        <v>724</v>
      </c>
    </row>
    <row r="678" spans="1:6" ht="15.6" x14ac:dyDescent="0.3">
      <c r="A678" s="270" t="s">
        <v>621</v>
      </c>
      <c r="B678" s="270" t="s">
        <v>669</v>
      </c>
      <c r="C678">
        <f t="shared" si="45"/>
        <v>85</v>
      </c>
      <c r="D678">
        <f t="shared" ca="1" si="46"/>
        <v>0</v>
      </c>
      <c r="E678">
        <f t="shared" si="47"/>
        <v>2567</v>
      </c>
      <c r="F678" t="s">
        <v>724</v>
      </c>
    </row>
    <row r="679" spans="1:6" ht="15.6" x14ac:dyDescent="0.3">
      <c r="A679" s="270" t="s">
        <v>653</v>
      </c>
      <c r="B679" s="270" t="s">
        <v>700</v>
      </c>
      <c r="C679">
        <f t="shared" si="45"/>
        <v>100</v>
      </c>
      <c r="D679">
        <f t="shared" ca="1" si="46"/>
        <v>0</v>
      </c>
      <c r="E679">
        <f t="shared" si="47"/>
        <v>2542</v>
      </c>
      <c r="F679" t="s">
        <v>724</v>
      </c>
    </row>
    <row r="680" spans="1:6" ht="15.6" x14ac:dyDescent="0.3">
      <c r="A680" s="270" t="s">
        <v>622</v>
      </c>
      <c r="B680" s="270" t="s">
        <v>697</v>
      </c>
      <c r="C680">
        <f t="shared" si="45"/>
        <v>86</v>
      </c>
      <c r="D680">
        <f t="shared" ca="1" si="46"/>
        <v>0</v>
      </c>
      <c r="E680">
        <f t="shared" si="47"/>
        <v>2634</v>
      </c>
      <c r="F680" t="s">
        <v>724</v>
      </c>
    </row>
    <row r="681" spans="1:6" ht="15.6" x14ac:dyDescent="0.3">
      <c r="A681" s="270" t="s">
        <v>644</v>
      </c>
      <c r="B681" s="270" t="s">
        <v>712</v>
      </c>
      <c r="C681">
        <f t="shared" si="45"/>
        <v>86</v>
      </c>
      <c r="D681">
        <f t="shared" ca="1" si="46"/>
        <v>0</v>
      </c>
      <c r="E681">
        <f t="shared" si="47"/>
        <v>2609</v>
      </c>
      <c r="F681" t="s">
        <v>724</v>
      </c>
    </row>
    <row r="682" spans="1:6" ht="15.6" x14ac:dyDescent="0.3">
      <c r="A682" s="270" t="s">
        <v>648</v>
      </c>
      <c r="B682" s="270" t="s">
        <v>708</v>
      </c>
      <c r="C682">
        <f t="shared" si="45"/>
        <v>88</v>
      </c>
      <c r="D682">
        <f t="shared" ca="1" si="46"/>
        <v>1</v>
      </c>
      <c r="E682">
        <f t="shared" si="47"/>
        <v>2584</v>
      </c>
      <c r="F682" t="s">
        <v>724</v>
      </c>
    </row>
    <row r="683" spans="1:6" ht="15.6" x14ac:dyDescent="0.3">
      <c r="A683" s="270" t="s">
        <v>639</v>
      </c>
      <c r="B683" s="270" t="s">
        <v>695</v>
      </c>
      <c r="C683">
        <f t="shared" si="45"/>
        <v>99</v>
      </c>
      <c r="D683">
        <f t="shared" ca="1" si="46"/>
        <v>1</v>
      </c>
      <c r="E683">
        <f t="shared" si="47"/>
        <v>2559</v>
      </c>
      <c r="F683" t="s">
        <v>724</v>
      </c>
    </row>
    <row r="684" spans="1:6" ht="15.6" x14ac:dyDescent="0.3">
      <c r="A684" s="270" t="s">
        <v>633</v>
      </c>
      <c r="B684" s="270" t="s">
        <v>685</v>
      </c>
      <c r="C684">
        <f t="shared" si="45"/>
        <v>87</v>
      </c>
      <c r="D684">
        <f t="shared" ca="1" si="46"/>
        <v>1</v>
      </c>
      <c r="E684">
        <f t="shared" si="47"/>
        <v>2651</v>
      </c>
      <c r="F684" t="s">
        <v>724</v>
      </c>
    </row>
    <row r="685" spans="1:6" ht="15.6" x14ac:dyDescent="0.3">
      <c r="A685" s="270" t="s">
        <v>648</v>
      </c>
      <c r="B685" s="270" t="s">
        <v>677</v>
      </c>
      <c r="C685">
        <f t="shared" si="45"/>
        <v>102</v>
      </c>
      <c r="D685">
        <f t="shared" ca="1" si="46"/>
        <v>0</v>
      </c>
      <c r="E685">
        <f t="shared" si="47"/>
        <v>2626</v>
      </c>
      <c r="F685" t="s">
        <v>724</v>
      </c>
    </row>
    <row r="686" spans="1:6" ht="15.6" x14ac:dyDescent="0.3">
      <c r="A686" s="270" t="s">
        <v>630</v>
      </c>
      <c r="B686" s="270" t="s">
        <v>675</v>
      </c>
      <c r="C686">
        <f t="shared" si="45"/>
        <v>88</v>
      </c>
      <c r="D686">
        <f t="shared" ca="1" si="46"/>
        <v>1</v>
      </c>
      <c r="E686">
        <f t="shared" si="47"/>
        <v>2601</v>
      </c>
      <c r="F686" t="s">
        <v>724</v>
      </c>
    </row>
    <row r="687" spans="1:6" ht="15.6" x14ac:dyDescent="0.3">
      <c r="A687" s="270" t="s">
        <v>664</v>
      </c>
      <c r="B687" s="270" t="s">
        <v>668</v>
      </c>
      <c r="C687">
        <f t="shared" si="45"/>
        <v>94</v>
      </c>
      <c r="D687">
        <f t="shared" ca="1" si="46"/>
        <v>0</v>
      </c>
      <c r="E687">
        <f t="shared" si="47"/>
        <v>2576</v>
      </c>
      <c r="F687" t="s">
        <v>724</v>
      </c>
    </row>
    <row r="688" spans="1:6" ht="15.6" x14ac:dyDescent="0.3">
      <c r="A688" s="270" t="s">
        <v>624</v>
      </c>
      <c r="B688" s="270" t="s">
        <v>698</v>
      </c>
      <c r="C688">
        <f t="shared" si="45"/>
        <v>92</v>
      </c>
      <c r="D688">
        <f t="shared" ca="1" si="46"/>
        <v>0</v>
      </c>
      <c r="E688">
        <f t="shared" si="47"/>
        <v>2668</v>
      </c>
      <c r="F688" t="s">
        <v>724</v>
      </c>
    </row>
    <row r="689" spans="1:6" ht="15.6" x14ac:dyDescent="0.3">
      <c r="A689" s="270" t="s">
        <v>623</v>
      </c>
      <c r="B689" s="270" t="s">
        <v>675</v>
      </c>
      <c r="C689">
        <f t="shared" si="45"/>
        <v>103</v>
      </c>
      <c r="D689">
        <f t="shared" ca="1" si="46"/>
        <v>0</v>
      </c>
      <c r="E689">
        <f t="shared" si="47"/>
        <v>2643</v>
      </c>
      <c r="F689" t="s">
        <v>724</v>
      </c>
    </row>
    <row r="690" spans="1:6" ht="15.6" x14ac:dyDescent="0.3">
      <c r="A690" s="270" t="s">
        <v>658</v>
      </c>
      <c r="B690" s="270" t="s">
        <v>702</v>
      </c>
      <c r="C690">
        <f t="shared" si="45"/>
        <v>101</v>
      </c>
      <c r="D690">
        <f t="shared" ca="1" si="46"/>
        <v>1</v>
      </c>
      <c r="E690">
        <f t="shared" si="47"/>
        <v>2618</v>
      </c>
      <c r="F690" t="s">
        <v>724</v>
      </c>
    </row>
    <row r="691" spans="1:6" ht="15.6" x14ac:dyDescent="0.3">
      <c r="A691" s="270" t="s">
        <v>633</v>
      </c>
      <c r="B691" s="270" t="s">
        <v>687</v>
      </c>
      <c r="C691">
        <f t="shared" si="45"/>
        <v>94</v>
      </c>
      <c r="D691">
        <f t="shared" ca="1" si="46"/>
        <v>1</v>
      </c>
      <c r="E691">
        <f t="shared" si="47"/>
        <v>2593</v>
      </c>
      <c r="F691" t="s">
        <v>724</v>
      </c>
    </row>
    <row r="692" spans="1:6" ht="15.6" x14ac:dyDescent="0.3">
      <c r="A692" s="270" t="s">
        <v>650</v>
      </c>
      <c r="B692" s="270" t="s">
        <v>691</v>
      </c>
      <c r="C692">
        <f t="shared" si="45"/>
        <v>84</v>
      </c>
      <c r="D692">
        <f t="shared" ca="1" si="46"/>
        <v>0</v>
      </c>
      <c r="E692">
        <f t="shared" si="47"/>
        <v>2685</v>
      </c>
      <c r="F692" t="s">
        <v>724</v>
      </c>
    </row>
    <row r="693" spans="1:6" ht="15.6" x14ac:dyDescent="0.3">
      <c r="A693" s="270" t="s">
        <v>661</v>
      </c>
      <c r="B693" s="270" t="s">
        <v>708</v>
      </c>
      <c r="C693">
        <f t="shared" si="45"/>
        <v>87</v>
      </c>
      <c r="D693">
        <f t="shared" ca="1" si="46"/>
        <v>0</v>
      </c>
      <c r="E693">
        <f t="shared" si="47"/>
        <v>2660</v>
      </c>
      <c r="F693" t="s">
        <v>724</v>
      </c>
    </row>
    <row r="694" spans="1:6" ht="15.6" x14ac:dyDescent="0.3">
      <c r="A694" s="270" t="s">
        <v>650</v>
      </c>
      <c r="B694" s="270" t="s">
        <v>669</v>
      </c>
      <c r="C694">
        <f t="shared" si="45"/>
        <v>89</v>
      </c>
      <c r="D694">
        <f t="shared" ca="1" si="46"/>
        <v>0</v>
      </c>
      <c r="E694">
        <f t="shared" si="47"/>
        <v>2635</v>
      </c>
      <c r="F694" t="s">
        <v>724</v>
      </c>
    </row>
    <row r="695" spans="1:6" ht="15.6" x14ac:dyDescent="0.3">
      <c r="A695" s="270" t="s">
        <v>649</v>
      </c>
      <c r="B695" s="270" t="s">
        <v>681</v>
      </c>
      <c r="C695">
        <f t="shared" si="45"/>
        <v>85</v>
      </c>
      <c r="D695">
        <f t="shared" ca="1" si="46"/>
        <v>1</v>
      </c>
      <c r="E695">
        <f t="shared" si="47"/>
        <v>2610</v>
      </c>
      <c r="F695" t="s">
        <v>724</v>
      </c>
    </row>
    <row r="696" spans="1:6" ht="15.6" x14ac:dyDescent="0.3">
      <c r="A696" s="270" t="s">
        <v>650</v>
      </c>
      <c r="B696" s="270" t="s">
        <v>703</v>
      </c>
      <c r="C696">
        <f t="shared" si="45"/>
        <v>88</v>
      </c>
      <c r="D696">
        <f t="shared" ca="1" si="46"/>
        <v>1</v>
      </c>
      <c r="E696">
        <f t="shared" si="47"/>
        <v>2702</v>
      </c>
      <c r="F696" t="s">
        <v>724</v>
      </c>
    </row>
    <row r="697" spans="1:6" ht="15.6" x14ac:dyDescent="0.3">
      <c r="A697" s="270" t="s">
        <v>640</v>
      </c>
      <c r="B697" s="270" t="s">
        <v>705</v>
      </c>
      <c r="C697">
        <f t="shared" si="45"/>
        <v>86</v>
      </c>
      <c r="D697">
        <f t="shared" ca="1" si="46"/>
        <v>0</v>
      </c>
      <c r="E697">
        <f t="shared" si="47"/>
        <v>2677</v>
      </c>
      <c r="F697" t="s">
        <v>724</v>
      </c>
    </row>
    <row r="698" spans="1:6" ht="15.6" x14ac:dyDescent="0.3">
      <c r="A698" s="270" t="s">
        <v>635</v>
      </c>
      <c r="B698" s="270" t="s">
        <v>697</v>
      </c>
      <c r="C698">
        <f t="shared" si="45"/>
        <v>89</v>
      </c>
      <c r="D698">
        <f t="shared" ca="1" si="46"/>
        <v>0</v>
      </c>
      <c r="E698">
        <f t="shared" si="47"/>
        <v>2652</v>
      </c>
      <c r="F698" t="s">
        <v>724</v>
      </c>
    </row>
    <row r="699" spans="1:6" ht="15.6" x14ac:dyDescent="0.3">
      <c r="A699" s="270" t="s">
        <v>629</v>
      </c>
      <c r="B699" s="270" t="s">
        <v>704</v>
      </c>
      <c r="C699">
        <f t="shared" si="45"/>
        <v>91</v>
      </c>
      <c r="D699">
        <f t="shared" ca="1" si="46"/>
        <v>1</v>
      </c>
      <c r="E699">
        <f t="shared" si="47"/>
        <v>2627</v>
      </c>
      <c r="F699" t="s">
        <v>724</v>
      </c>
    </row>
    <row r="700" spans="1:6" ht="15.6" x14ac:dyDescent="0.3">
      <c r="A700" s="270" t="s">
        <v>661</v>
      </c>
      <c r="B700" s="270" t="s">
        <v>696</v>
      </c>
      <c r="C700">
        <f t="shared" si="45"/>
        <v>102</v>
      </c>
      <c r="D700">
        <f t="shared" ca="1" si="46"/>
        <v>1</v>
      </c>
      <c r="E700">
        <f t="shared" si="47"/>
        <v>2719</v>
      </c>
      <c r="F700" t="s">
        <v>724</v>
      </c>
    </row>
    <row r="701" spans="1:6" ht="15.6" x14ac:dyDescent="0.3">
      <c r="A701" s="270" t="s">
        <v>666</v>
      </c>
      <c r="B701" s="270" t="s">
        <v>678</v>
      </c>
      <c r="C701">
        <f t="shared" ref="C701:C705" si="48">C502+4</f>
        <v>90</v>
      </c>
      <c r="D701">
        <f t="shared" ca="1" si="46"/>
        <v>0</v>
      </c>
      <c r="E701">
        <f t="shared" si="47"/>
        <v>2694</v>
      </c>
      <c r="F701" t="s">
        <v>724</v>
      </c>
    </row>
    <row r="702" spans="1:6" ht="15.6" x14ac:dyDescent="0.3">
      <c r="A702" s="270" t="s">
        <v>660</v>
      </c>
      <c r="B702" s="270" t="s">
        <v>670</v>
      </c>
      <c r="C702">
        <f t="shared" si="48"/>
        <v>105</v>
      </c>
      <c r="D702">
        <f t="shared" ca="1" si="46"/>
        <v>1</v>
      </c>
      <c r="E702">
        <f t="shared" si="47"/>
        <v>2669</v>
      </c>
      <c r="F702" t="s">
        <v>724</v>
      </c>
    </row>
    <row r="703" spans="1:6" ht="15.6" x14ac:dyDescent="0.3">
      <c r="A703" s="270" t="s">
        <v>643</v>
      </c>
      <c r="B703" s="270" t="s">
        <v>691</v>
      </c>
      <c r="C703">
        <f t="shared" si="48"/>
        <v>91</v>
      </c>
      <c r="D703">
        <f t="shared" ca="1" si="46"/>
        <v>0</v>
      </c>
      <c r="E703">
        <f t="shared" si="47"/>
        <v>2644</v>
      </c>
      <c r="F703" t="s">
        <v>724</v>
      </c>
    </row>
    <row r="704" spans="1:6" ht="15.6" x14ac:dyDescent="0.3">
      <c r="A704" s="270" t="s">
        <v>629</v>
      </c>
      <c r="B704" s="270" t="s">
        <v>709</v>
      </c>
      <c r="C704">
        <f t="shared" si="48"/>
        <v>93</v>
      </c>
      <c r="D704">
        <f t="shared" ca="1" si="46"/>
        <v>1</v>
      </c>
      <c r="E704">
        <f t="shared" si="47"/>
        <v>2736</v>
      </c>
      <c r="F704" t="s">
        <v>724</v>
      </c>
    </row>
    <row r="705" spans="1:6" ht="15.6" x14ac:dyDescent="0.3">
      <c r="A705" s="270" t="s">
        <v>627</v>
      </c>
      <c r="B705" s="270" t="s">
        <v>679</v>
      </c>
      <c r="C705">
        <f t="shared" si="48"/>
        <v>104</v>
      </c>
      <c r="D705">
        <f t="shared" ca="1" si="46"/>
        <v>0</v>
      </c>
      <c r="E705">
        <f t="shared" si="47"/>
        <v>2711</v>
      </c>
      <c r="F705" t="s">
        <v>724</v>
      </c>
    </row>
    <row r="706" spans="1:6" ht="15.6" x14ac:dyDescent="0.3">
      <c r="A706" s="270" t="s">
        <v>655</v>
      </c>
      <c r="B706" s="270" t="s">
        <v>699</v>
      </c>
      <c r="C706">
        <v>46</v>
      </c>
      <c r="D706">
        <f t="shared" ca="1" si="46"/>
        <v>0</v>
      </c>
      <c r="E706">
        <f t="shared" si="47"/>
        <v>2686</v>
      </c>
      <c r="F706" t="s">
        <v>724</v>
      </c>
    </row>
    <row r="707" spans="1:6" ht="15.6" x14ac:dyDescent="0.3">
      <c r="A707" s="270" t="s">
        <v>627</v>
      </c>
      <c r="B707" s="270" t="s">
        <v>706</v>
      </c>
      <c r="C707">
        <v>34</v>
      </c>
      <c r="D707">
        <f t="shared" ref="D707:D770" ca="1" si="49">RANDBETWEEN(0,1)</f>
        <v>0</v>
      </c>
      <c r="E707">
        <f t="shared" si="47"/>
        <v>2661</v>
      </c>
      <c r="F707" t="s">
        <v>724</v>
      </c>
    </row>
    <row r="708" spans="1:6" ht="15.6" x14ac:dyDescent="0.3">
      <c r="A708" s="270" t="s">
        <v>660</v>
      </c>
      <c r="B708" s="270" t="s">
        <v>709</v>
      </c>
      <c r="C708">
        <v>33</v>
      </c>
      <c r="D708">
        <f t="shared" ca="1" si="49"/>
        <v>0</v>
      </c>
      <c r="E708">
        <f t="shared" si="47"/>
        <v>2753</v>
      </c>
      <c r="F708" t="s">
        <v>724</v>
      </c>
    </row>
    <row r="709" spans="1:6" ht="15.6" x14ac:dyDescent="0.3">
      <c r="A709" s="270" t="s">
        <v>638</v>
      </c>
      <c r="B709" s="270" t="s">
        <v>692</v>
      </c>
      <c r="C709">
        <v>49</v>
      </c>
      <c r="D709">
        <f t="shared" ca="1" si="49"/>
        <v>0</v>
      </c>
      <c r="E709">
        <f t="shared" si="47"/>
        <v>2728</v>
      </c>
      <c r="F709" t="s">
        <v>724</v>
      </c>
    </row>
    <row r="710" spans="1:6" ht="15.6" x14ac:dyDescent="0.3">
      <c r="A710" s="270" t="s">
        <v>660</v>
      </c>
      <c r="B710" s="270" t="s">
        <v>700</v>
      </c>
      <c r="C710">
        <v>67</v>
      </c>
      <c r="D710">
        <f t="shared" ca="1" si="49"/>
        <v>1</v>
      </c>
      <c r="E710">
        <f t="shared" si="47"/>
        <v>2703</v>
      </c>
      <c r="F710" t="s">
        <v>724</v>
      </c>
    </row>
    <row r="711" spans="1:6" ht="15.6" x14ac:dyDescent="0.3">
      <c r="A711" s="270" t="s">
        <v>664</v>
      </c>
      <c r="B711" s="270" t="s">
        <v>568</v>
      </c>
      <c r="C711">
        <f>C708+7</f>
        <v>40</v>
      </c>
      <c r="D711">
        <f t="shared" ca="1" si="49"/>
        <v>1</v>
      </c>
      <c r="E711">
        <f t="shared" si="47"/>
        <v>2678</v>
      </c>
      <c r="F711" t="s">
        <v>724</v>
      </c>
    </row>
    <row r="712" spans="1:6" ht="15.6" x14ac:dyDescent="0.3">
      <c r="A712" s="270" t="s">
        <v>617</v>
      </c>
      <c r="B712" s="270" t="s">
        <v>709</v>
      </c>
      <c r="C712">
        <f t="shared" ref="C712:C727" si="50">C709+7</f>
        <v>56</v>
      </c>
      <c r="D712">
        <f t="shared" ca="1" si="49"/>
        <v>0</v>
      </c>
      <c r="E712">
        <f t="shared" si="47"/>
        <v>2770</v>
      </c>
      <c r="F712" t="s">
        <v>724</v>
      </c>
    </row>
    <row r="713" spans="1:6" ht="15.6" x14ac:dyDescent="0.3">
      <c r="A713" s="270" t="s">
        <v>655</v>
      </c>
      <c r="B713" s="270" t="s">
        <v>687</v>
      </c>
      <c r="C713">
        <f t="shared" si="50"/>
        <v>74</v>
      </c>
      <c r="D713">
        <f t="shared" ca="1" si="49"/>
        <v>1</v>
      </c>
      <c r="E713">
        <f t="shared" si="47"/>
        <v>2745</v>
      </c>
      <c r="F713" t="s">
        <v>724</v>
      </c>
    </row>
    <row r="714" spans="1:6" ht="15.6" x14ac:dyDescent="0.3">
      <c r="A714" s="270" t="s">
        <v>645</v>
      </c>
      <c r="B714" s="270" t="s">
        <v>679</v>
      </c>
      <c r="C714">
        <f t="shared" si="50"/>
        <v>47</v>
      </c>
      <c r="D714">
        <f t="shared" ca="1" si="49"/>
        <v>0</v>
      </c>
      <c r="E714">
        <f t="shared" si="47"/>
        <v>2720</v>
      </c>
      <c r="F714" t="s">
        <v>724</v>
      </c>
    </row>
    <row r="715" spans="1:6" ht="15.6" x14ac:dyDescent="0.3">
      <c r="A715" s="270" t="s">
        <v>647</v>
      </c>
      <c r="B715" s="270" t="s">
        <v>712</v>
      </c>
      <c r="C715">
        <f t="shared" si="50"/>
        <v>63</v>
      </c>
      <c r="D715">
        <f t="shared" ca="1" si="49"/>
        <v>1</v>
      </c>
      <c r="E715">
        <f>1660+56</f>
        <v>1716</v>
      </c>
      <c r="F715" t="s">
        <v>724</v>
      </c>
    </row>
    <row r="716" spans="1:6" ht="15.6" x14ac:dyDescent="0.3">
      <c r="A716" s="270" t="s">
        <v>645</v>
      </c>
      <c r="B716" s="270" t="s">
        <v>705</v>
      </c>
      <c r="C716">
        <f t="shared" si="50"/>
        <v>81</v>
      </c>
      <c r="D716">
        <f t="shared" ca="1" si="49"/>
        <v>0</v>
      </c>
      <c r="E716">
        <f>E715+31</f>
        <v>1747</v>
      </c>
      <c r="F716" t="s">
        <v>724</v>
      </c>
    </row>
    <row r="717" spans="1:6" ht="15.6" x14ac:dyDescent="0.3">
      <c r="A717" s="270" t="s">
        <v>655</v>
      </c>
      <c r="B717" s="270" t="s">
        <v>682</v>
      </c>
      <c r="C717">
        <f t="shared" si="50"/>
        <v>54</v>
      </c>
      <c r="D717">
        <f t="shared" ca="1" si="49"/>
        <v>1</v>
      </c>
      <c r="E717">
        <f t="shared" ref="E717:E780" si="51">E716+31</f>
        <v>1778</v>
      </c>
      <c r="F717" t="s">
        <v>724</v>
      </c>
    </row>
    <row r="718" spans="1:6" ht="15.6" x14ac:dyDescent="0.3">
      <c r="A718" s="270" t="s">
        <v>626</v>
      </c>
      <c r="B718" s="270" t="s">
        <v>667</v>
      </c>
      <c r="C718">
        <f t="shared" si="50"/>
        <v>70</v>
      </c>
      <c r="D718">
        <f t="shared" ca="1" si="49"/>
        <v>1</v>
      </c>
      <c r="E718">
        <f t="shared" si="51"/>
        <v>1809</v>
      </c>
      <c r="F718" t="s">
        <v>724</v>
      </c>
    </row>
    <row r="719" spans="1:6" ht="15.6" x14ac:dyDescent="0.3">
      <c r="A719" s="270" t="s">
        <v>656</v>
      </c>
      <c r="B719" s="270" t="s">
        <v>689</v>
      </c>
      <c r="C719">
        <f t="shared" si="50"/>
        <v>88</v>
      </c>
      <c r="D719">
        <f t="shared" ca="1" si="49"/>
        <v>1</v>
      </c>
      <c r="E719">
        <f t="shared" si="51"/>
        <v>1840</v>
      </c>
      <c r="F719" t="s">
        <v>724</v>
      </c>
    </row>
    <row r="720" spans="1:6" ht="15.6" x14ac:dyDescent="0.3">
      <c r="A720" s="270" t="s">
        <v>659</v>
      </c>
      <c r="B720" s="270" t="s">
        <v>707</v>
      </c>
      <c r="C720">
        <f t="shared" si="50"/>
        <v>61</v>
      </c>
      <c r="D720">
        <f t="shared" ca="1" si="49"/>
        <v>0</v>
      </c>
      <c r="E720">
        <f t="shared" si="51"/>
        <v>1871</v>
      </c>
      <c r="F720" t="s">
        <v>724</v>
      </c>
    </row>
    <row r="721" spans="1:6" ht="15.6" x14ac:dyDescent="0.3">
      <c r="A721" s="270" t="s">
        <v>637</v>
      </c>
      <c r="B721" s="270" t="s">
        <v>669</v>
      </c>
      <c r="C721">
        <f t="shared" si="50"/>
        <v>77</v>
      </c>
      <c r="D721">
        <f t="shared" ca="1" si="49"/>
        <v>0</v>
      </c>
      <c r="E721">
        <f t="shared" si="51"/>
        <v>1902</v>
      </c>
      <c r="F721" t="s">
        <v>724</v>
      </c>
    </row>
    <row r="722" spans="1:6" ht="15.6" x14ac:dyDescent="0.3">
      <c r="A722" s="270" t="s">
        <v>651</v>
      </c>
      <c r="B722" s="270" t="s">
        <v>670</v>
      </c>
      <c r="C722">
        <f t="shared" si="50"/>
        <v>95</v>
      </c>
      <c r="D722">
        <f t="shared" ca="1" si="49"/>
        <v>0</v>
      </c>
      <c r="E722">
        <f t="shared" si="51"/>
        <v>1933</v>
      </c>
      <c r="F722" t="s">
        <v>724</v>
      </c>
    </row>
    <row r="723" spans="1:6" ht="15.6" x14ac:dyDescent="0.3">
      <c r="A723" s="270" t="s">
        <v>622</v>
      </c>
      <c r="B723" s="270" t="s">
        <v>695</v>
      </c>
      <c r="C723">
        <f t="shared" si="50"/>
        <v>68</v>
      </c>
      <c r="D723">
        <f t="shared" ca="1" si="49"/>
        <v>0</v>
      </c>
      <c r="E723">
        <f t="shared" si="51"/>
        <v>1964</v>
      </c>
      <c r="F723" t="s">
        <v>724</v>
      </c>
    </row>
    <row r="724" spans="1:6" ht="15.6" x14ac:dyDescent="0.3">
      <c r="A724" s="270" t="s">
        <v>647</v>
      </c>
      <c r="B724" s="270" t="s">
        <v>694</v>
      </c>
      <c r="C724">
        <f t="shared" si="50"/>
        <v>84</v>
      </c>
      <c r="D724">
        <f t="shared" ca="1" si="49"/>
        <v>0</v>
      </c>
      <c r="E724">
        <f t="shared" si="51"/>
        <v>1995</v>
      </c>
      <c r="F724" t="s">
        <v>724</v>
      </c>
    </row>
    <row r="725" spans="1:6" ht="15.6" x14ac:dyDescent="0.3">
      <c r="A725" s="270" t="s">
        <v>630</v>
      </c>
      <c r="B725" s="270" t="s">
        <v>694</v>
      </c>
      <c r="C725">
        <f t="shared" si="50"/>
        <v>102</v>
      </c>
      <c r="D725">
        <f t="shared" ca="1" si="49"/>
        <v>0</v>
      </c>
      <c r="E725">
        <f t="shared" si="51"/>
        <v>2026</v>
      </c>
      <c r="F725" t="s">
        <v>724</v>
      </c>
    </row>
    <row r="726" spans="1:6" ht="15.6" x14ac:dyDescent="0.3">
      <c r="A726" s="270" t="s">
        <v>651</v>
      </c>
      <c r="B726" s="270" t="s">
        <v>709</v>
      </c>
      <c r="C726">
        <f t="shared" si="50"/>
        <v>75</v>
      </c>
      <c r="D726">
        <f t="shared" ca="1" si="49"/>
        <v>1</v>
      </c>
      <c r="E726">
        <f t="shared" si="51"/>
        <v>2057</v>
      </c>
      <c r="F726" t="s">
        <v>724</v>
      </c>
    </row>
    <row r="727" spans="1:6" ht="15.6" x14ac:dyDescent="0.3">
      <c r="A727" s="270" t="s">
        <v>652</v>
      </c>
      <c r="B727" s="270" t="s">
        <v>670</v>
      </c>
      <c r="C727">
        <f t="shared" si="50"/>
        <v>91</v>
      </c>
      <c r="D727">
        <f t="shared" ca="1" si="49"/>
        <v>0</v>
      </c>
      <c r="E727">
        <f t="shared" si="51"/>
        <v>2088</v>
      </c>
      <c r="F727" t="s">
        <v>724</v>
      </c>
    </row>
    <row r="728" spans="1:6" ht="15.6" x14ac:dyDescent="0.3">
      <c r="A728" s="270" t="s">
        <v>641</v>
      </c>
      <c r="B728" s="270" t="s">
        <v>691</v>
      </c>
      <c r="C728">
        <f t="shared" ref="C728:C733" si="52">C725+7</f>
        <v>109</v>
      </c>
      <c r="D728">
        <f t="shared" ca="1" si="49"/>
        <v>0</v>
      </c>
      <c r="E728">
        <f t="shared" si="51"/>
        <v>2119</v>
      </c>
      <c r="F728" t="s">
        <v>724</v>
      </c>
    </row>
    <row r="729" spans="1:6" ht="15.6" x14ac:dyDescent="0.3">
      <c r="A729" s="270" t="s">
        <v>640</v>
      </c>
      <c r="B729" s="270" t="s">
        <v>712</v>
      </c>
      <c r="C729">
        <f t="shared" si="52"/>
        <v>82</v>
      </c>
      <c r="D729">
        <f t="shared" ca="1" si="49"/>
        <v>0</v>
      </c>
      <c r="E729">
        <f t="shared" si="51"/>
        <v>2150</v>
      </c>
      <c r="F729" t="s">
        <v>724</v>
      </c>
    </row>
    <row r="730" spans="1:6" ht="15.6" x14ac:dyDescent="0.3">
      <c r="A730" s="270" t="s">
        <v>629</v>
      </c>
      <c r="B730" s="270" t="s">
        <v>673</v>
      </c>
      <c r="C730">
        <f t="shared" si="52"/>
        <v>98</v>
      </c>
      <c r="D730">
        <f t="shared" ca="1" si="49"/>
        <v>1</v>
      </c>
      <c r="E730">
        <f t="shared" si="51"/>
        <v>2181</v>
      </c>
      <c r="F730" t="s">
        <v>724</v>
      </c>
    </row>
    <row r="731" spans="1:6" ht="15.6" x14ac:dyDescent="0.3">
      <c r="A731" s="270" t="s">
        <v>632</v>
      </c>
      <c r="B731" s="270" t="s">
        <v>685</v>
      </c>
      <c r="C731">
        <v>85</v>
      </c>
      <c r="D731">
        <f t="shared" ca="1" si="49"/>
        <v>1</v>
      </c>
      <c r="E731">
        <f t="shared" si="51"/>
        <v>2212</v>
      </c>
      <c r="F731" t="s">
        <v>724</v>
      </c>
    </row>
    <row r="732" spans="1:6" ht="15.6" x14ac:dyDescent="0.3">
      <c r="A732" s="270" t="s">
        <v>658</v>
      </c>
      <c r="B732" s="270" t="s">
        <v>702</v>
      </c>
      <c r="C732">
        <f t="shared" si="52"/>
        <v>89</v>
      </c>
      <c r="D732">
        <f t="shared" ca="1" si="49"/>
        <v>1</v>
      </c>
      <c r="E732">
        <f t="shared" si="51"/>
        <v>2243</v>
      </c>
      <c r="F732" t="s">
        <v>724</v>
      </c>
    </row>
    <row r="733" spans="1:6" ht="15.6" x14ac:dyDescent="0.3">
      <c r="A733" s="270" t="s">
        <v>634</v>
      </c>
      <c r="B733" s="270" t="s">
        <v>688</v>
      </c>
      <c r="C733">
        <f t="shared" si="52"/>
        <v>105</v>
      </c>
      <c r="D733">
        <f t="shared" ca="1" si="49"/>
        <v>1</v>
      </c>
      <c r="E733">
        <f t="shared" si="51"/>
        <v>2274</v>
      </c>
      <c r="F733" t="s">
        <v>725</v>
      </c>
    </row>
    <row r="734" spans="1:6" ht="15.6" x14ac:dyDescent="0.3">
      <c r="A734" s="270" t="s">
        <v>629</v>
      </c>
      <c r="B734" s="270" t="s">
        <v>669</v>
      </c>
      <c r="C734">
        <v>89</v>
      </c>
      <c r="D734">
        <f t="shared" ca="1" si="49"/>
        <v>1</v>
      </c>
      <c r="E734">
        <f t="shared" si="51"/>
        <v>2305</v>
      </c>
      <c r="F734" t="s">
        <v>725</v>
      </c>
    </row>
    <row r="735" spans="1:6" ht="15.6" x14ac:dyDescent="0.3">
      <c r="A735" s="270" t="s">
        <v>620</v>
      </c>
      <c r="B735" s="270" t="s">
        <v>680</v>
      </c>
      <c r="C735">
        <f>C732+7</f>
        <v>96</v>
      </c>
      <c r="D735">
        <f t="shared" ca="1" si="49"/>
        <v>0</v>
      </c>
      <c r="E735">
        <f t="shared" si="51"/>
        <v>2336</v>
      </c>
      <c r="F735" t="s">
        <v>725</v>
      </c>
    </row>
    <row r="736" spans="1:6" ht="15.6" x14ac:dyDescent="0.3">
      <c r="A736" s="270" t="s">
        <v>622</v>
      </c>
      <c r="B736" s="270" t="s">
        <v>695</v>
      </c>
      <c r="C736">
        <v>56</v>
      </c>
      <c r="D736">
        <f t="shared" ca="1" si="49"/>
        <v>1</v>
      </c>
      <c r="E736">
        <f t="shared" si="51"/>
        <v>2367</v>
      </c>
      <c r="F736" t="s">
        <v>725</v>
      </c>
    </row>
    <row r="737" spans="1:6" ht="15.6" x14ac:dyDescent="0.3">
      <c r="A737" s="270" t="s">
        <v>624</v>
      </c>
      <c r="B737" s="270" t="s">
        <v>708</v>
      </c>
      <c r="C737">
        <f t="shared" ref="C737:C751" si="53">C734+7</f>
        <v>96</v>
      </c>
      <c r="D737">
        <f t="shared" ca="1" si="49"/>
        <v>0</v>
      </c>
      <c r="E737">
        <f t="shared" si="51"/>
        <v>2398</v>
      </c>
      <c r="F737" t="s">
        <v>725</v>
      </c>
    </row>
    <row r="738" spans="1:6" ht="15.6" x14ac:dyDescent="0.3">
      <c r="A738" s="270" t="s">
        <v>651</v>
      </c>
      <c r="B738" s="270" t="s">
        <v>690</v>
      </c>
      <c r="C738">
        <f t="shared" si="53"/>
        <v>103</v>
      </c>
      <c r="D738">
        <f t="shared" ca="1" si="49"/>
        <v>0</v>
      </c>
      <c r="E738">
        <f t="shared" si="51"/>
        <v>2429</v>
      </c>
      <c r="F738" t="s">
        <v>725</v>
      </c>
    </row>
    <row r="739" spans="1:6" ht="15.6" x14ac:dyDescent="0.3">
      <c r="A739" s="270" t="s">
        <v>657</v>
      </c>
      <c r="B739" s="270" t="s">
        <v>705</v>
      </c>
      <c r="C739">
        <f t="shared" si="53"/>
        <v>63</v>
      </c>
      <c r="D739">
        <f t="shared" ca="1" si="49"/>
        <v>0</v>
      </c>
      <c r="E739">
        <f t="shared" si="51"/>
        <v>2460</v>
      </c>
      <c r="F739" t="s">
        <v>725</v>
      </c>
    </row>
    <row r="740" spans="1:6" ht="15.6" x14ac:dyDescent="0.3">
      <c r="A740" s="270" t="s">
        <v>647</v>
      </c>
      <c r="B740" s="270" t="s">
        <v>700</v>
      </c>
      <c r="C740">
        <v>67</v>
      </c>
      <c r="D740">
        <f t="shared" ca="1" si="49"/>
        <v>0</v>
      </c>
      <c r="E740">
        <f t="shared" si="51"/>
        <v>2491</v>
      </c>
      <c r="F740" t="s">
        <v>725</v>
      </c>
    </row>
    <row r="741" spans="1:6" ht="15.6" x14ac:dyDescent="0.3">
      <c r="A741" s="270" t="s">
        <v>639</v>
      </c>
      <c r="B741" s="270" t="s">
        <v>698</v>
      </c>
      <c r="C741">
        <v>56</v>
      </c>
      <c r="D741">
        <f t="shared" ca="1" si="49"/>
        <v>1</v>
      </c>
      <c r="E741">
        <f t="shared" si="51"/>
        <v>2522</v>
      </c>
      <c r="F741" t="s">
        <v>725</v>
      </c>
    </row>
    <row r="742" spans="1:6" ht="15.6" x14ac:dyDescent="0.3">
      <c r="A742" s="270" t="s">
        <v>649</v>
      </c>
      <c r="B742" s="270" t="s">
        <v>695</v>
      </c>
      <c r="C742">
        <v>89</v>
      </c>
      <c r="D742">
        <f t="shared" ca="1" si="49"/>
        <v>1</v>
      </c>
      <c r="E742">
        <f t="shared" si="51"/>
        <v>2553</v>
      </c>
      <c r="F742" t="s">
        <v>725</v>
      </c>
    </row>
    <row r="743" spans="1:6" ht="15.6" x14ac:dyDescent="0.3">
      <c r="A743" s="270" t="s">
        <v>644</v>
      </c>
      <c r="B743" s="270" t="s">
        <v>693</v>
      </c>
      <c r="C743">
        <v>98</v>
      </c>
      <c r="D743">
        <f t="shared" ca="1" si="49"/>
        <v>0</v>
      </c>
      <c r="E743">
        <f t="shared" si="51"/>
        <v>2584</v>
      </c>
      <c r="F743" t="s">
        <v>725</v>
      </c>
    </row>
    <row r="744" spans="1:6" ht="15.6" x14ac:dyDescent="0.3">
      <c r="A744" s="270" t="s">
        <v>654</v>
      </c>
      <c r="B744" s="270" t="s">
        <v>708</v>
      </c>
      <c r="C744">
        <v>39</v>
      </c>
      <c r="D744">
        <f t="shared" ca="1" si="49"/>
        <v>1</v>
      </c>
      <c r="E744">
        <f t="shared" si="51"/>
        <v>2615</v>
      </c>
      <c r="F744" t="s">
        <v>725</v>
      </c>
    </row>
    <row r="745" spans="1:6" ht="15.6" x14ac:dyDescent="0.3">
      <c r="A745" s="270" t="s">
        <v>651</v>
      </c>
      <c r="B745" s="270" t="s">
        <v>687</v>
      </c>
      <c r="C745">
        <v>78</v>
      </c>
      <c r="D745">
        <f t="shared" ca="1" si="49"/>
        <v>0</v>
      </c>
      <c r="E745">
        <f t="shared" si="51"/>
        <v>2646</v>
      </c>
      <c r="F745" t="s">
        <v>725</v>
      </c>
    </row>
    <row r="746" spans="1:6" ht="15.6" x14ac:dyDescent="0.3">
      <c r="A746" s="270" t="s">
        <v>625</v>
      </c>
      <c r="B746" s="270" t="s">
        <v>703</v>
      </c>
      <c r="C746">
        <v>94</v>
      </c>
      <c r="D746">
        <f t="shared" ca="1" si="49"/>
        <v>1</v>
      </c>
      <c r="E746">
        <f t="shared" si="51"/>
        <v>2677</v>
      </c>
      <c r="F746" t="s">
        <v>725</v>
      </c>
    </row>
    <row r="747" spans="1:6" ht="15.6" x14ac:dyDescent="0.3">
      <c r="A747" s="270" t="s">
        <v>653</v>
      </c>
      <c r="B747" s="270" t="s">
        <v>697</v>
      </c>
      <c r="C747">
        <v>76</v>
      </c>
      <c r="D747">
        <f t="shared" ca="1" si="49"/>
        <v>1</v>
      </c>
      <c r="E747">
        <f t="shared" si="51"/>
        <v>2708</v>
      </c>
      <c r="F747" t="s">
        <v>725</v>
      </c>
    </row>
    <row r="748" spans="1:6" ht="15.6" x14ac:dyDescent="0.3">
      <c r="A748" s="270" t="s">
        <v>653</v>
      </c>
      <c r="B748" s="270" t="s">
        <v>680</v>
      </c>
      <c r="C748">
        <v>56</v>
      </c>
      <c r="D748">
        <f t="shared" ca="1" si="49"/>
        <v>1</v>
      </c>
      <c r="E748">
        <f t="shared" si="51"/>
        <v>2739</v>
      </c>
      <c r="F748" t="s">
        <v>725</v>
      </c>
    </row>
    <row r="749" spans="1:6" ht="15.6" x14ac:dyDescent="0.3">
      <c r="A749" s="270" t="s">
        <v>620</v>
      </c>
      <c r="B749" s="270" t="s">
        <v>684</v>
      </c>
      <c r="C749">
        <v>67</v>
      </c>
      <c r="D749">
        <f t="shared" ca="1" si="49"/>
        <v>0</v>
      </c>
      <c r="E749">
        <f t="shared" si="51"/>
        <v>2770</v>
      </c>
      <c r="F749" t="s">
        <v>725</v>
      </c>
    </row>
    <row r="750" spans="1:6" ht="15.6" x14ac:dyDescent="0.3">
      <c r="A750" s="270" t="s">
        <v>632</v>
      </c>
      <c r="B750" s="270" t="s">
        <v>670</v>
      </c>
      <c r="C750">
        <f t="shared" si="53"/>
        <v>83</v>
      </c>
      <c r="D750">
        <f t="shared" ca="1" si="49"/>
        <v>1</v>
      </c>
      <c r="E750">
        <f t="shared" si="51"/>
        <v>2801</v>
      </c>
      <c r="F750" t="s">
        <v>725</v>
      </c>
    </row>
    <row r="751" spans="1:6" ht="15.6" x14ac:dyDescent="0.3">
      <c r="A751" s="270" t="s">
        <v>665</v>
      </c>
      <c r="B751" s="270" t="s">
        <v>678</v>
      </c>
      <c r="C751">
        <f t="shared" si="53"/>
        <v>63</v>
      </c>
      <c r="D751">
        <f t="shared" ca="1" si="49"/>
        <v>0</v>
      </c>
      <c r="E751">
        <f t="shared" si="51"/>
        <v>2832</v>
      </c>
      <c r="F751" t="s">
        <v>725</v>
      </c>
    </row>
    <row r="752" spans="1:6" ht="15.6" x14ac:dyDescent="0.3">
      <c r="A752" s="270" t="s">
        <v>627</v>
      </c>
      <c r="B752" s="270" t="s">
        <v>698</v>
      </c>
      <c r="C752">
        <v>45</v>
      </c>
      <c r="D752">
        <f t="shared" ca="1" si="49"/>
        <v>1</v>
      </c>
      <c r="E752">
        <f t="shared" si="51"/>
        <v>2863</v>
      </c>
      <c r="F752" t="s">
        <v>725</v>
      </c>
    </row>
    <row r="753" spans="1:6" ht="15.6" x14ac:dyDescent="0.3">
      <c r="A753" s="270" t="s">
        <v>656</v>
      </c>
      <c r="B753" s="270" t="s">
        <v>672</v>
      </c>
      <c r="C753">
        <v>48</v>
      </c>
      <c r="D753">
        <f t="shared" ca="1" si="49"/>
        <v>1</v>
      </c>
      <c r="E753">
        <f t="shared" si="51"/>
        <v>2894</v>
      </c>
      <c r="F753" t="s">
        <v>725</v>
      </c>
    </row>
    <row r="754" spans="1:6" ht="15.6" x14ac:dyDescent="0.3">
      <c r="A754" s="270" t="s">
        <v>621</v>
      </c>
      <c r="B754" s="270" t="s">
        <v>682</v>
      </c>
      <c r="C754">
        <v>35</v>
      </c>
      <c r="D754">
        <f t="shared" ca="1" si="49"/>
        <v>1</v>
      </c>
      <c r="E754">
        <f t="shared" si="51"/>
        <v>2925</v>
      </c>
      <c r="F754" t="s">
        <v>725</v>
      </c>
    </row>
    <row r="755" spans="1:6" ht="15.6" x14ac:dyDescent="0.3">
      <c r="A755" s="270" t="s">
        <v>663</v>
      </c>
      <c r="B755" s="270" t="s">
        <v>679</v>
      </c>
      <c r="C755">
        <v>35</v>
      </c>
      <c r="D755">
        <f t="shared" ca="1" si="49"/>
        <v>0</v>
      </c>
      <c r="E755">
        <f t="shared" si="51"/>
        <v>2956</v>
      </c>
      <c r="F755" t="s">
        <v>726</v>
      </c>
    </row>
    <row r="756" spans="1:6" ht="15.6" x14ac:dyDescent="0.3">
      <c r="A756" s="270" t="s">
        <v>618</v>
      </c>
      <c r="B756" s="270" t="s">
        <v>690</v>
      </c>
      <c r="C756">
        <v>35</v>
      </c>
      <c r="D756">
        <f t="shared" ca="1" si="49"/>
        <v>0</v>
      </c>
      <c r="E756">
        <f t="shared" si="51"/>
        <v>2987</v>
      </c>
      <c r="F756" t="s">
        <v>726</v>
      </c>
    </row>
    <row r="757" spans="1:6" ht="15.6" x14ac:dyDescent="0.3">
      <c r="A757" s="270" t="s">
        <v>650</v>
      </c>
      <c r="B757" s="270" t="s">
        <v>686</v>
      </c>
      <c r="C757">
        <v>35</v>
      </c>
      <c r="D757">
        <f t="shared" ca="1" si="49"/>
        <v>1</v>
      </c>
      <c r="E757">
        <f t="shared" si="51"/>
        <v>3018</v>
      </c>
      <c r="F757" t="s">
        <v>726</v>
      </c>
    </row>
    <row r="758" spans="1:6" ht="15.6" x14ac:dyDescent="0.3">
      <c r="A758" s="270" t="s">
        <v>628</v>
      </c>
      <c r="B758" s="270" t="s">
        <v>694</v>
      </c>
      <c r="C758">
        <v>35</v>
      </c>
      <c r="D758">
        <f t="shared" ca="1" si="49"/>
        <v>0</v>
      </c>
      <c r="E758">
        <f t="shared" si="51"/>
        <v>3049</v>
      </c>
      <c r="F758" t="s">
        <v>726</v>
      </c>
    </row>
    <row r="759" spans="1:6" ht="15.6" x14ac:dyDescent="0.3">
      <c r="A759" s="270" t="s">
        <v>646</v>
      </c>
      <c r="B759" s="270" t="s">
        <v>698</v>
      </c>
      <c r="C759">
        <v>35</v>
      </c>
      <c r="D759">
        <f t="shared" ca="1" si="49"/>
        <v>0</v>
      </c>
      <c r="E759">
        <f t="shared" si="51"/>
        <v>3080</v>
      </c>
      <c r="F759" t="s">
        <v>726</v>
      </c>
    </row>
    <row r="760" spans="1:6" ht="15.6" x14ac:dyDescent="0.3">
      <c r="A760" s="270" t="s">
        <v>630</v>
      </c>
      <c r="B760" s="270" t="s">
        <v>712</v>
      </c>
      <c r="C760">
        <v>35</v>
      </c>
      <c r="D760">
        <f t="shared" ca="1" si="49"/>
        <v>1</v>
      </c>
      <c r="E760">
        <f t="shared" si="51"/>
        <v>3111</v>
      </c>
      <c r="F760" t="s">
        <v>726</v>
      </c>
    </row>
    <row r="761" spans="1:6" ht="15.6" x14ac:dyDescent="0.3">
      <c r="A761" s="270" t="s">
        <v>617</v>
      </c>
      <c r="B761" s="270" t="s">
        <v>668</v>
      </c>
      <c r="C761">
        <v>35</v>
      </c>
      <c r="D761">
        <f t="shared" ca="1" si="49"/>
        <v>0</v>
      </c>
      <c r="E761">
        <f t="shared" si="51"/>
        <v>3142</v>
      </c>
      <c r="F761" t="s">
        <v>726</v>
      </c>
    </row>
    <row r="762" spans="1:6" ht="15.6" x14ac:dyDescent="0.3">
      <c r="A762" s="270" t="s">
        <v>630</v>
      </c>
      <c r="B762" s="270" t="s">
        <v>691</v>
      </c>
      <c r="C762">
        <v>35</v>
      </c>
      <c r="D762">
        <f t="shared" ca="1" si="49"/>
        <v>1</v>
      </c>
      <c r="E762">
        <f t="shared" si="51"/>
        <v>3173</v>
      </c>
      <c r="F762" t="s">
        <v>726</v>
      </c>
    </row>
    <row r="763" spans="1:6" ht="15.6" x14ac:dyDescent="0.3">
      <c r="A763" s="270" t="s">
        <v>657</v>
      </c>
      <c r="B763" s="270" t="s">
        <v>678</v>
      </c>
      <c r="C763">
        <v>35</v>
      </c>
      <c r="D763">
        <f t="shared" ca="1" si="49"/>
        <v>0</v>
      </c>
      <c r="E763">
        <f t="shared" si="51"/>
        <v>3204</v>
      </c>
      <c r="F763" t="s">
        <v>726</v>
      </c>
    </row>
    <row r="764" spans="1:6" ht="15.6" x14ac:dyDescent="0.3">
      <c r="A764" s="270" t="s">
        <v>632</v>
      </c>
      <c r="B764" s="270" t="s">
        <v>684</v>
      </c>
      <c r="C764">
        <v>35</v>
      </c>
      <c r="D764">
        <f t="shared" ca="1" si="49"/>
        <v>0</v>
      </c>
      <c r="E764">
        <f t="shared" si="51"/>
        <v>3235</v>
      </c>
      <c r="F764" t="s">
        <v>726</v>
      </c>
    </row>
    <row r="765" spans="1:6" ht="15.6" x14ac:dyDescent="0.3">
      <c r="A765" s="270" t="s">
        <v>625</v>
      </c>
      <c r="B765" s="270" t="s">
        <v>704</v>
      </c>
      <c r="C765">
        <v>35</v>
      </c>
      <c r="D765">
        <f t="shared" ca="1" si="49"/>
        <v>1</v>
      </c>
      <c r="E765">
        <f t="shared" si="51"/>
        <v>3266</v>
      </c>
      <c r="F765" t="s">
        <v>726</v>
      </c>
    </row>
    <row r="766" spans="1:6" ht="15.6" x14ac:dyDescent="0.3">
      <c r="A766" s="270" t="s">
        <v>648</v>
      </c>
      <c r="B766" s="270" t="s">
        <v>675</v>
      </c>
      <c r="C766">
        <f>37+C760</f>
        <v>72</v>
      </c>
      <c r="D766">
        <f t="shared" ca="1" si="49"/>
        <v>0</v>
      </c>
      <c r="E766">
        <f t="shared" si="51"/>
        <v>3297</v>
      </c>
      <c r="F766" t="s">
        <v>726</v>
      </c>
    </row>
    <row r="767" spans="1:6" ht="15.6" x14ac:dyDescent="0.3">
      <c r="A767" s="270" t="s">
        <v>647</v>
      </c>
      <c r="B767" s="270" t="s">
        <v>680</v>
      </c>
      <c r="C767">
        <f t="shared" ref="C767:C773" si="54">37+C761</f>
        <v>72</v>
      </c>
      <c r="D767">
        <f t="shared" ca="1" si="49"/>
        <v>1</v>
      </c>
      <c r="E767">
        <f t="shared" si="51"/>
        <v>3328</v>
      </c>
      <c r="F767" t="s">
        <v>726</v>
      </c>
    </row>
    <row r="768" spans="1:6" ht="15.6" x14ac:dyDescent="0.3">
      <c r="A768" s="270" t="s">
        <v>645</v>
      </c>
      <c r="B768" s="270" t="s">
        <v>668</v>
      </c>
      <c r="C768">
        <f t="shared" si="54"/>
        <v>72</v>
      </c>
      <c r="D768">
        <f t="shared" ca="1" si="49"/>
        <v>1</v>
      </c>
      <c r="E768">
        <f t="shared" si="51"/>
        <v>3359</v>
      </c>
      <c r="F768" t="s">
        <v>726</v>
      </c>
    </row>
    <row r="769" spans="1:6" ht="15.6" x14ac:dyDescent="0.3">
      <c r="A769" s="270" t="s">
        <v>650</v>
      </c>
      <c r="B769" s="270" t="s">
        <v>670</v>
      </c>
      <c r="C769">
        <f t="shared" si="54"/>
        <v>72</v>
      </c>
      <c r="D769">
        <f t="shared" ca="1" si="49"/>
        <v>0</v>
      </c>
      <c r="E769">
        <f t="shared" si="51"/>
        <v>3390</v>
      </c>
      <c r="F769" t="s">
        <v>726</v>
      </c>
    </row>
    <row r="770" spans="1:6" ht="15.6" x14ac:dyDescent="0.3">
      <c r="A770" s="270" t="s">
        <v>635</v>
      </c>
      <c r="B770" s="270" t="s">
        <v>696</v>
      </c>
      <c r="C770">
        <f t="shared" si="54"/>
        <v>72</v>
      </c>
      <c r="D770">
        <f t="shared" ca="1" si="49"/>
        <v>1</v>
      </c>
      <c r="E770">
        <f t="shared" si="51"/>
        <v>3421</v>
      </c>
      <c r="F770" t="s">
        <v>726</v>
      </c>
    </row>
    <row r="771" spans="1:6" ht="15.6" x14ac:dyDescent="0.3">
      <c r="A771" s="270" t="s">
        <v>639</v>
      </c>
      <c r="B771" s="270" t="s">
        <v>687</v>
      </c>
      <c r="C771">
        <f t="shared" si="54"/>
        <v>72</v>
      </c>
      <c r="D771">
        <f t="shared" ref="D771:D834" ca="1" si="55">RANDBETWEEN(0,1)</f>
        <v>1</v>
      </c>
      <c r="E771">
        <f t="shared" si="51"/>
        <v>3452</v>
      </c>
      <c r="F771" t="s">
        <v>726</v>
      </c>
    </row>
    <row r="772" spans="1:6" ht="15.6" x14ac:dyDescent="0.3">
      <c r="A772" s="270" t="s">
        <v>633</v>
      </c>
      <c r="B772" s="270" t="s">
        <v>697</v>
      </c>
      <c r="C772">
        <f t="shared" si="54"/>
        <v>109</v>
      </c>
      <c r="D772">
        <f t="shared" ca="1" si="55"/>
        <v>0</v>
      </c>
      <c r="E772">
        <f t="shared" si="51"/>
        <v>3483</v>
      </c>
      <c r="F772" t="s">
        <v>726</v>
      </c>
    </row>
    <row r="773" spans="1:6" ht="15.6" x14ac:dyDescent="0.3">
      <c r="A773" s="270" t="s">
        <v>661</v>
      </c>
      <c r="B773" s="270" t="s">
        <v>710</v>
      </c>
      <c r="C773">
        <f t="shared" si="54"/>
        <v>109</v>
      </c>
      <c r="D773">
        <f t="shared" ca="1" si="55"/>
        <v>0</v>
      </c>
      <c r="E773">
        <f t="shared" si="51"/>
        <v>3514</v>
      </c>
      <c r="F773" t="s">
        <v>726</v>
      </c>
    </row>
    <row r="774" spans="1:6" ht="15.6" x14ac:dyDescent="0.3">
      <c r="A774" s="270" t="s">
        <v>642</v>
      </c>
      <c r="B774" s="270" t="s">
        <v>687</v>
      </c>
      <c r="C774">
        <v>56</v>
      </c>
      <c r="D774">
        <f t="shared" ca="1" si="55"/>
        <v>1</v>
      </c>
      <c r="E774">
        <f t="shared" si="51"/>
        <v>3545</v>
      </c>
      <c r="F774" t="s">
        <v>726</v>
      </c>
    </row>
    <row r="775" spans="1:6" ht="15.6" x14ac:dyDescent="0.3">
      <c r="A775" s="270" t="s">
        <v>656</v>
      </c>
      <c r="B775" s="270" t="s">
        <v>715</v>
      </c>
      <c r="C775">
        <v>45</v>
      </c>
      <c r="D775">
        <f t="shared" ca="1" si="55"/>
        <v>1</v>
      </c>
      <c r="E775">
        <f t="shared" si="51"/>
        <v>3576</v>
      </c>
      <c r="F775" t="s">
        <v>727</v>
      </c>
    </row>
    <row r="776" spans="1:6" ht="15.6" x14ac:dyDescent="0.3">
      <c r="A776" s="270" t="s">
        <v>661</v>
      </c>
      <c r="B776" s="270" t="s">
        <v>568</v>
      </c>
      <c r="C776">
        <v>18</v>
      </c>
      <c r="D776">
        <f t="shared" ca="1" si="55"/>
        <v>0</v>
      </c>
      <c r="E776">
        <f t="shared" si="51"/>
        <v>3607</v>
      </c>
      <c r="F776" t="s">
        <v>727</v>
      </c>
    </row>
    <row r="777" spans="1:6" ht="15.6" x14ac:dyDescent="0.3">
      <c r="A777" s="270" t="s">
        <v>635</v>
      </c>
      <c r="B777" s="270" t="s">
        <v>705</v>
      </c>
      <c r="C777">
        <v>37</v>
      </c>
      <c r="D777">
        <f t="shared" ca="1" si="55"/>
        <v>0</v>
      </c>
      <c r="E777">
        <f t="shared" si="51"/>
        <v>3638</v>
      </c>
      <c r="F777" t="s">
        <v>727</v>
      </c>
    </row>
    <row r="778" spans="1:6" ht="15.6" x14ac:dyDescent="0.3">
      <c r="A778" s="270" t="s">
        <v>666</v>
      </c>
      <c r="B778" s="270" t="s">
        <v>715</v>
      </c>
      <c r="C778">
        <f>C775+4</f>
        <v>49</v>
      </c>
      <c r="D778">
        <f t="shared" ca="1" si="55"/>
        <v>0</v>
      </c>
      <c r="E778">
        <f t="shared" si="51"/>
        <v>3669</v>
      </c>
      <c r="F778" t="s">
        <v>727</v>
      </c>
    </row>
    <row r="779" spans="1:6" ht="15.6" x14ac:dyDescent="0.3">
      <c r="A779" s="270" t="s">
        <v>646</v>
      </c>
      <c r="B779" s="270" t="s">
        <v>685</v>
      </c>
      <c r="C779">
        <f t="shared" ref="C779:C810" si="56">C776+4</f>
        <v>22</v>
      </c>
      <c r="D779">
        <f t="shared" ca="1" si="55"/>
        <v>1</v>
      </c>
      <c r="E779">
        <f t="shared" si="51"/>
        <v>3700</v>
      </c>
      <c r="F779" t="s">
        <v>727</v>
      </c>
    </row>
    <row r="780" spans="1:6" ht="15.6" x14ac:dyDescent="0.3">
      <c r="A780" s="270" t="s">
        <v>663</v>
      </c>
      <c r="B780" s="270" t="s">
        <v>701</v>
      </c>
      <c r="C780">
        <f t="shared" si="56"/>
        <v>41</v>
      </c>
      <c r="D780">
        <f t="shared" ca="1" si="55"/>
        <v>0</v>
      </c>
      <c r="E780">
        <f t="shared" si="51"/>
        <v>3731</v>
      </c>
      <c r="F780" t="s">
        <v>727</v>
      </c>
    </row>
    <row r="781" spans="1:6" ht="15.6" x14ac:dyDescent="0.3">
      <c r="A781" s="270" t="s">
        <v>623</v>
      </c>
      <c r="B781" s="270" t="s">
        <v>692</v>
      </c>
      <c r="C781">
        <f t="shared" si="56"/>
        <v>53</v>
      </c>
      <c r="D781">
        <f t="shared" ca="1" si="55"/>
        <v>1</v>
      </c>
      <c r="E781">
        <f t="shared" ref="E781:E844" si="57">E780+31</f>
        <v>3762</v>
      </c>
      <c r="F781" t="s">
        <v>727</v>
      </c>
    </row>
    <row r="782" spans="1:6" ht="15.6" x14ac:dyDescent="0.3">
      <c r="A782" s="270" t="s">
        <v>647</v>
      </c>
      <c r="B782" s="270" t="s">
        <v>672</v>
      </c>
      <c r="C782">
        <f t="shared" si="56"/>
        <v>26</v>
      </c>
      <c r="D782">
        <f t="shared" ca="1" si="55"/>
        <v>0</v>
      </c>
      <c r="E782">
        <f t="shared" si="57"/>
        <v>3793</v>
      </c>
      <c r="F782" t="s">
        <v>727</v>
      </c>
    </row>
    <row r="783" spans="1:6" ht="15.6" x14ac:dyDescent="0.3">
      <c r="A783" s="270" t="s">
        <v>645</v>
      </c>
      <c r="B783" s="270" t="s">
        <v>675</v>
      </c>
      <c r="C783">
        <f t="shared" si="56"/>
        <v>45</v>
      </c>
      <c r="D783">
        <f t="shared" ca="1" si="55"/>
        <v>1</v>
      </c>
      <c r="E783">
        <f t="shared" si="57"/>
        <v>3824</v>
      </c>
      <c r="F783" t="s">
        <v>727</v>
      </c>
    </row>
    <row r="784" spans="1:6" ht="15.6" x14ac:dyDescent="0.3">
      <c r="A784" s="270" t="s">
        <v>626</v>
      </c>
      <c r="B784" s="270" t="s">
        <v>676</v>
      </c>
      <c r="C784">
        <f t="shared" si="56"/>
        <v>57</v>
      </c>
      <c r="D784">
        <f t="shared" ca="1" si="55"/>
        <v>0</v>
      </c>
      <c r="E784">
        <f t="shared" si="57"/>
        <v>3855</v>
      </c>
      <c r="F784" t="s">
        <v>727</v>
      </c>
    </row>
    <row r="785" spans="1:6" ht="15.6" x14ac:dyDescent="0.3">
      <c r="A785" s="270" t="s">
        <v>648</v>
      </c>
      <c r="B785" s="270" t="s">
        <v>702</v>
      </c>
      <c r="C785">
        <f>C782+4</f>
        <v>30</v>
      </c>
      <c r="D785">
        <f t="shared" ca="1" si="55"/>
        <v>0</v>
      </c>
      <c r="E785">
        <f t="shared" si="57"/>
        <v>3886</v>
      </c>
      <c r="F785" t="s">
        <v>727</v>
      </c>
    </row>
    <row r="786" spans="1:6" ht="15.6" x14ac:dyDescent="0.3">
      <c r="A786" s="270" t="s">
        <v>666</v>
      </c>
      <c r="B786" s="270" t="s">
        <v>696</v>
      </c>
      <c r="C786">
        <f t="shared" si="56"/>
        <v>49</v>
      </c>
      <c r="D786">
        <f t="shared" ca="1" si="55"/>
        <v>1</v>
      </c>
      <c r="E786">
        <f t="shared" si="57"/>
        <v>3917</v>
      </c>
      <c r="F786" t="s">
        <v>727</v>
      </c>
    </row>
    <row r="787" spans="1:6" ht="15.6" x14ac:dyDescent="0.3">
      <c r="A787" s="270" t="s">
        <v>625</v>
      </c>
      <c r="B787" s="270" t="s">
        <v>713</v>
      </c>
      <c r="C787">
        <f t="shared" si="56"/>
        <v>61</v>
      </c>
      <c r="D787">
        <f t="shared" ca="1" si="55"/>
        <v>0</v>
      </c>
      <c r="E787">
        <f t="shared" si="57"/>
        <v>3948</v>
      </c>
      <c r="F787" t="s">
        <v>727</v>
      </c>
    </row>
    <row r="788" spans="1:6" ht="15.6" x14ac:dyDescent="0.3">
      <c r="A788" s="270" t="s">
        <v>663</v>
      </c>
      <c r="B788" s="270" t="s">
        <v>697</v>
      </c>
      <c r="C788">
        <f t="shared" si="56"/>
        <v>34</v>
      </c>
      <c r="D788">
        <f t="shared" ca="1" si="55"/>
        <v>0</v>
      </c>
      <c r="E788">
        <f t="shared" si="57"/>
        <v>3979</v>
      </c>
      <c r="F788" t="s">
        <v>727</v>
      </c>
    </row>
    <row r="789" spans="1:6" ht="15.6" x14ac:dyDescent="0.3">
      <c r="A789" s="270" t="s">
        <v>618</v>
      </c>
      <c r="B789" s="270" t="s">
        <v>690</v>
      </c>
      <c r="C789">
        <f>C786+4</f>
        <v>53</v>
      </c>
      <c r="D789">
        <f t="shared" ca="1" si="55"/>
        <v>0</v>
      </c>
      <c r="E789">
        <f t="shared" si="57"/>
        <v>4010</v>
      </c>
      <c r="F789" t="s">
        <v>727</v>
      </c>
    </row>
    <row r="790" spans="1:6" ht="15.6" x14ac:dyDescent="0.3">
      <c r="A790" s="270" t="s">
        <v>624</v>
      </c>
      <c r="B790" s="270" t="s">
        <v>668</v>
      </c>
      <c r="C790">
        <f t="shared" si="56"/>
        <v>65</v>
      </c>
      <c r="D790">
        <f t="shared" ca="1" si="55"/>
        <v>0</v>
      </c>
      <c r="E790">
        <f t="shared" si="57"/>
        <v>4041</v>
      </c>
      <c r="F790" t="s">
        <v>727</v>
      </c>
    </row>
    <row r="791" spans="1:6" ht="15.6" x14ac:dyDescent="0.3">
      <c r="A791" s="270" t="s">
        <v>618</v>
      </c>
      <c r="B791" s="270" t="s">
        <v>699</v>
      </c>
      <c r="C791">
        <f t="shared" si="56"/>
        <v>38</v>
      </c>
      <c r="D791">
        <f t="shared" ca="1" si="55"/>
        <v>0</v>
      </c>
      <c r="E791">
        <f t="shared" si="57"/>
        <v>4072</v>
      </c>
      <c r="F791" t="s">
        <v>727</v>
      </c>
    </row>
    <row r="792" spans="1:6" ht="15.6" x14ac:dyDescent="0.3">
      <c r="A792" s="270" t="s">
        <v>663</v>
      </c>
      <c r="B792" s="270" t="s">
        <v>667</v>
      </c>
      <c r="C792">
        <f t="shared" si="56"/>
        <v>57</v>
      </c>
      <c r="D792">
        <f t="shared" ca="1" si="55"/>
        <v>1</v>
      </c>
      <c r="E792">
        <f t="shared" si="57"/>
        <v>4103</v>
      </c>
      <c r="F792" t="s">
        <v>727</v>
      </c>
    </row>
    <row r="793" spans="1:6" ht="15.6" x14ac:dyDescent="0.3">
      <c r="A793" s="270" t="s">
        <v>621</v>
      </c>
      <c r="B793" s="270" t="s">
        <v>711</v>
      </c>
      <c r="C793">
        <f t="shared" si="56"/>
        <v>69</v>
      </c>
      <c r="D793">
        <f t="shared" ca="1" si="55"/>
        <v>0</v>
      </c>
      <c r="E793">
        <f t="shared" si="57"/>
        <v>4134</v>
      </c>
      <c r="F793" t="s">
        <v>727</v>
      </c>
    </row>
    <row r="794" spans="1:6" ht="15.6" x14ac:dyDescent="0.3">
      <c r="A794" s="270" t="s">
        <v>624</v>
      </c>
      <c r="B794" s="270" t="s">
        <v>701</v>
      </c>
      <c r="C794">
        <f t="shared" si="56"/>
        <v>42</v>
      </c>
      <c r="D794">
        <f t="shared" ca="1" si="55"/>
        <v>1</v>
      </c>
      <c r="E794">
        <f t="shared" si="57"/>
        <v>4165</v>
      </c>
      <c r="F794" t="s">
        <v>727</v>
      </c>
    </row>
    <row r="795" spans="1:6" ht="15.6" x14ac:dyDescent="0.3">
      <c r="A795" s="270" t="s">
        <v>645</v>
      </c>
      <c r="B795" s="270" t="s">
        <v>710</v>
      </c>
      <c r="C795">
        <f t="shared" si="56"/>
        <v>61</v>
      </c>
      <c r="D795">
        <f t="shared" ca="1" si="55"/>
        <v>0</v>
      </c>
      <c r="E795">
        <f t="shared" si="57"/>
        <v>4196</v>
      </c>
      <c r="F795" t="s">
        <v>727</v>
      </c>
    </row>
    <row r="796" spans="1:6" ht="15.6" x14ac:dyDescent="0.3">
      <c r="A796" s="270" t="s">
        <v>622</v>
      </c>
      <c r="B796" s="270" t="s">
        <v>686</v>
      </c>
      <c r="C796">
        <f>C793+4</f>
        <v>73</v>
      </c>
      <c r="D796">
        <f t="shared" ca="1" si="55"/>
        <v>0</v>
      </c>
      <c r="E796">
        <f t="shared" si="57"/>
        <v>4227</v>
      </c>
      <c r="F796" t="s">
        <v>727</v>
      </c>
    </row>
    <row r="797" spans="1:6" ht="15.6" x14ac:dyDescent="0.3">
      <c r="A797" s="270" t="s">
        <v>649</v>
      </c>
      <c r="B797" s="270" t="s">
        <v>685</v>
      </c>
      <c r="C797">
        <f t="shared" si="56"/>
        <v>46</v>
      </c>
      <c r="D797">
        <f t="shared" ca="1" si="55"/>
        <v>1</v>
      </c>
      <c r="E797">
        <f t="shared" si="57"/>
        <v>4258</v>
      </c>
      <c r="F797" t="s">
        <v>727</v>
      </c>
    </row>
    <row r="798" spans="1:6" ht="15.6" x14ac:dyDescent="0.3">
      <c r="A798" s="270" t="s">
        <v>661</v>
      </c>
      <c r="B798" s="270" t="s">
        <v>711</v>
      </c>
      <c r="C798">
        <f t="shared" si="56"/>
        <v>65</v>
      </c>
      <c r="D798">
        <f t="shared" ca="1" si="55"/>
        <v>1</v>
      </c>
      <c r="E798">
        <f t="shared" si="57"/>
        <v>4289</v>
      </c>
      <c r="F798" t="s">
        <v>727</v>
      </c>
    </row>
    <row r="799" spans="1:6" ht="15.6" x14ac:dyDescent="0.3">
      <c r="A799" s="270" t="s">
        <v>666</v>
      </c>
      <c r="B799" s="270" t="s">
        <v>673</v>
      </c>
      <c r="C799">
        <f t="shared" si="56"/>
        <v>77</v>
      </c>
      <c r="D799">
        <f t="shared" ca="1" si="55"/>
        <v>1</v>
      </c>
      <c r="E799">
        <f t="shared" si="57"/>
        <v>4320</v>
      </c>
      <c r="F799" t="s">
        <v>727</v>
      </c>
    </row>
    <row r="800" spans="1:6" ht="15.6" x14ac:dyDescent="0.3">
      <c r="A800" s="270" t="s">
        <v>645</v>
      </c>
      <c r="B800" s="270" t="s">
        <v>694</v>
      </c>
      <c r="C800">
        <f>C797+4</f>
        <v>50</v>
      </c>
      <c r="D800">
        <f t="shared" ca="1" si="55"/>
        <v>1</v>
      </c>
      <c r="E800">
        <f t="shared" si="57"/>
        <v>4351</v>
      </c>
      <c r="F800" t="s">
        <v>727</v>
      </c>
    </row>
    <row r="801" spans="1:6" ht="15.6" x14ac:dyDescent="0.3">
      <c r="A801" s="270" t="s">
        <v>629</v>
      </c>
      <c r="B801" s="270" t="s">
        <v>698</v>
      </c>
      <c r="C801">
        <f t="shared" si="56"/>
        <v>69</v>
      </c>
      <c r="D801">
        <f t="shared" ca="1" si="55"/>
        <v>1</v>
      </c>
      <c r="E801">
        <f t="shared" si="57"/>
        <v>4382</v>
      </c>
      <c r="F801" t="s">
        <v>727</v>
      </c>
    </row>
    <row r="802" spans="1:6" ht="15.6" x14ac:dyDescent="0.3">
      <c r="A802" s="270" t="s">
        <v>646</v>
      </c>
      <c r="B802" s="270" t="s">
        <v>705</v>
      </c>
      <c r="C802">
        <f t="shared" si="56"/>
        <v>81</v>
      </c>
      <c r="D802">
        <f t="shared" ca="1" si="55"/>
        <v>1</v>
      </c>
      <c r="E802">
        <f t="shared" si="57"/>
        <v>4413</v>
      </c>
      <c r="F802" t="s">
        <v>727</v>
      </c>
    </row>
    <row r="803" spans="1:6" ht="15.6" x14ac:dyDescent="0.3">
      <c r="A803" s="270" t="s">
        <v>659</v>
      </c>
      <c r="B803" s="270" t="s">
        <v>699</v>
      </c>
      <c r="C803">
        <f t="shared" si="56"/>
        <v>54</v>
      </c>
      <c r="D803">
        <f t="shared" ca="1" si="55"/>
        <v>1</v>
      </c>
      <c r="E803">
        <f t="shared" si="57"/>
        <v>4444</v>
      </c>
      <c r="F803" t="s">
        <v>727</v>
      </c>
    </row>
    <row r="804" spans="1:6" ht="15.6" x14ac:dyDescent="0.3">
      <c r="A804" s="270" t="s">
        <v>659</v>
      </c>
      <c r="B804" s="270" t="s">
        <v>695</v>
      </c>
      <c r="C804">
        <f t="shared" si="56"/>
        <v>73</v>
      </c>
      <c r="D804">
        <f t="shared" ca="1" si="55"/>
        <v>1</v>
      </c>
      <c r="E804">
        <f t="shared" si="57"/>
        <v>4475</v>
      </c>
      <c r="F804" t="s">
        <v>727</v>
      </c>
    </row>
    <row r="805" spans="1:6" ht="15.6" x14ac:dyDescent="0.3">
      <c r="A805" s="270" t="s">
        <v>619</v>
      </c>
      <c r="B805" s="270" t="s">
        <v>667</v>
      </c>
      <c r="C805">
        <f t="shared" si="56"/>
        <v>85</v>
      </c>
      <c r="D805">
        <f t="shared" ca="1" si="55"/>
        <v>0</v>
      </c>
      <c r="E805">
        <f t="shared" si="57"/>
        <v>4506</v>
      </c>
      <c r="F805" t="s">
        <v>727</v>
      </c>
    </row>
    <row r="806" spans="1:6" ht="15.6" x14ac:dyDescent="0.3">
      <c r="A806" s="270" t="s">
        <v>647</v>
      </c>
      <c r="B806" s="270" t="s">
        <v>702</v>
      </c>
      <c r="C806">
        <f t="shared" si="56"/>
        <v>58</v>
      </c>
      <c r="D806">
        <f t="shared" ca="1" si="55"/>
        <v>1</v>
      </c>
      <c r="E806">
        <f t="shared" si="57"/>
        <v>4537</v>
      </c>
      <c r="F806" t="s">
        <v>727</v>
      </c>
    </row>
    <row r="807" spans="1:6" ht="15.6" x14ac:dyDescent="0.3">
      <c r="A807" s="270" t="s">
        <v>627</v>
      </c>
      <c r="B807" s="270" t="s">
        <v>712</v>
      </c>
      <c r="C807">
        <f>C804+4</f>
        <v>77</v>
      </c>
      <c r="D807">
        <f t="shared" ca="1" si="55"/>
        <v>0</v>
      </c>
      <c r="E807">
        <f t="shared" si="57"/>
        <v>4568</v>
      </c>
      <c r="F807" t="s">
        <v>727</v>
      </c>
    </row>
    <row r="808" spans="1:6" ht="15.6" x14ac:dyDescent="0.3">
      <c r="A808" s="270" t="s">
        <v>619</v>
      </c>
      <c r="B808" s="270" t="s">
        <v>691</v>
      </c>
      <c r="C808">
        <f t="shared" si="56"/>
        <v>89</v>
      </c>
      <c r="D808">
        <f t="shared" ca="1" si="55"/>
        <v>1</v>
      </c>
      <c r="E808">
        <f t="shared" si="57"/>
        <v>4599</v>
      </c>
      <c r="F808" t="s">
        <v>727</v>
      </c>
    </row>
    <row r="809" spans="1:6" ht="15.6" x14ac:dyDescent="0.3">
      <c r="A809" s="270" t="s">
        <v>633</v>
      </c>
      <c r="B809" s="270" t="s">
        <v>698</v>
      </c>
      <c r="C809">
        <f t="shared" si="56"/>
        <v>62</v>
      </c>
      <c r="D809">
        <f t="shared" ca="1" si="55"/>
        <v>0</v>
      </c>
      <c r="E809">
        <f t="shared" si="57"/>
        <v>4630</v>
      </c>
      <c r="F809" t="s">
        <v>727</v>
      </c>
    </row>
    <row r="810" spans="1:6" ht="15.6" x14ac:dyDescent="0.3">
      <c r="A810" s="270" t="s">
        <v>647</v>
      </c>
      <c r="B810" s="270" t="s">
        <v>680</v>
      </c>
      <c r="C810">
        <f t="shared" si="56"/>
        <v>81</v>
      </c>
      <c r="D810">
        <f t="shared" ca="1" si="55"/>
        <v>0</v>
      </c>
      <c r="E810">
        <f t="shared" si="57"/>
        <v>4661</v>
      </c>
      <c r="F810" t="s">
        <v>727</v>
      </c>
    </row>
    <row r="811" spans="1:6" ht="15.6" x14ac:dyDescent="0.3">
      <c r="A811" s="270" t="s">
        <v>657</v>
      </c>
      <c r="B811" s="270" t="s">
        <v>688</v>
      </c>
      <c r="C811">
        <v>25</v>
      </c>
      <c r="D811">
        <f t="shared" ca="1" si="55"/>
        <v>1</v>
      </c>
      <c r="E811">
        <f t="shared" si="57"/>
        <v>4692</v>
      </c>
      <c r="F811" t="s">
        <v>727</v>
      </c>
    </row>
    <row r="812" spans="1:6" ht="15.6" x14ac:dyDescent="0.3">
      <c r="A812" s="270" t="s">
        <v>661</v>
      </c>
      <c r="B812" s="270" t="s">
        <v>672</v>
      </c>
      <c r="C812">
        <v>25</v>
      </c>
      <c r="D812">
        <f t="shared" ca="1" si="55"/>
        <v>0</v>
      </c>
      <c r="E812">
        <f t="shared" si="57"/>
        <v>4723</v>
      </c>
      <c r="F812" t="s">
        <v>727</v>
      </c>
    </row>
    <row r="813" spans="1:6" ht="15.6" x14ac:dyDescent="0.3">
      <c r="A813" s="270" t="s">
        <v>645</v>
      </c>
      <c r="B813" s="270" t="s">
        <v>704</v>
      </c>
      <c r="C813">
        <v>25</v>
      </c>
      <c r="D813">
        <f t="shared" ca="1" si="55"/>
        <v>0</v>
      </c>
      <c r="E813">
        <f t="shared" si="57"/>
        <v>4754</v>
      </c>
      <c r="F813" t="s">
        <v>727</v>
      </c>
    </row>
    <row r="814" spans="1:6" ht="15.6" x14ac:dyDescent="0.3">
      <c r="A814" s="270" t="s">
        <v>649</v>
      </c>
      <c r="B814" s="270" t="s">
        <v>704</v>
      </c>
      <c r="C814">
        <v>25</v>
      </c>
      <c r="D814">
        <f t="shared" ca="1" si="55"/>
        <v>0</v>
      </c>
      <c r="E814">
        <f t="shared" si="57"/>
        <v>4785</v>
      </c>
      <c r="F814" t="s">
        <v>727</v>
      </c>
    </row>
    <row r="815" spans="1:6" ht="15.6" x14ac:dyDescent="0.3">
      <c r="A815" s="270" t="s">
        <v>645</v>
      </c>
      <c r="B815" s="270" t="s">
        <v>713</v>
      </c>
      <c r="C815">
        <v>25</v>
      </c>
      <c r="D815">
        <f t="shared" ca="1" si="55"/>
        <v>0</v>
      </c>
      <c r="E815">
        <f t="shared" si="57"/>
        <v>4816</v>
      </c>
      <c r="F815" t="s">
        <v>727</v>
      </c>
    </row>
    <row r="816" spans="1:6" ht="15.6" x14ac:dyDescent="0.3">
      <c r="A816" s="270" t="s">
        <v>663</v>
      </c>
      <c r="B816" s="270" t="s">
        <v>676</v>
      </c>
      <c r="C816">
        <v>25</v>
      </c>
      <c r="D816">
        <f t="shared" ca="1" si="55"/>
        <v>0</v>
      </c>
      <c r="E816">
        <f t="shared" si="57"/>
        <v>4847</v>
      </c>
      <c r="F816" t="s">
        <v>727</v>
      </c>
    </row>
    <row r="817" spans="1:6" ht="15.6" x14ac:dyDescent="0.3">
      <c r="A817" s="270" t="s">
        <v>625</v>
      </c>
      <c r="B817" s="270" t="s">
        <v>711</v>
      </c>
      <c r="C817">
        <v>25</v>
      </c>
      <c r="D817">
        <f t="shared" ca="1" si="55"/>
        <v>0</v>
      </c>
      <c r="E817">
        <f t="shared" si="57"/>
        <v>4878</v>
      </c>
      <c r="F817" t="s">
        <v>727</v>
      </c>
    </row>
    <row r="818" spans="1:6" ht="15.6" x14ac:dyDescent="0.3">
      <c r="A818" s="270" t="s">
        <v>634</v>
      </c>
      <c r="B818" s="270" t="s">
        <v>694</v>
      </c>
      <c r="C818">
        <f>39-18</f>
        <v>21</v>
      </c>
      <c r="D818">
        <f t="shared" ca="1" si="55"/>
        <v>0</v>
      </c>
      <c r="E818">
        <f t="shared" si="57"/>
        <v>4909</v>
      </c>
      <c r="F818" t="s">
        <v>727</v>
      </c>
    </row>
    <row r="819" spans="1:6" ht="15.6" x14ac:dyDescent="0.3">
      <c r="A819" s="270" t="s">
        <v>636</v>
      </c>
      <c r="B819" s="270" t="s">
        <v>672</v>
      </c>
      <c r="C819">
        <f t="shared" ref="C819:C829" si="58">39-18</f>
        <v>21</v>
      </c>
      <c r="D819">
        <f t="shared" ca="1" si="55"/>
        <v>1</v>
      </c>
      <c r="E819">
        <f t="shared" si="57"/>
        <v>4940</v>
      </c>
      <c r="F819" t="s">
        <v>727</v>
      </c>
    </row>
    <row r="820" spans="1:6" ht="15.6" x14ac:dyDescent="0.3">
      <c r="A820" s="270" t="s">
        <v>627</v>
      </c>
      <c r="B820" s="270" t="s">
        <v>706</v>
      </c>
      <c r="C820">
        <f t="shared" si="58"/>
        <v>21</v>
      </c>
      <c r="D820">
        <f t="shared" ca="1" si="55"/>
        <v>1</v>
      </c>
      <c r="E820">
        <f t="shared" si="57"/>
        <v>4971</v>
      </c>
      <c r="F820" t="s">
        <v>727</v>
      </c>
    </row>
    <row r="821" spans="1:6" ht="15.6" x14ac:dyDescent="0.3">
      <c r="A821" s="270" t="s">
        <v>636</v>
      </c>
      <c r="B821" s="270" t="s">
        <v>708</v>
      </c>
      <c r="C821">
        <f t="shared" si="58"/>
        <v>21</v>
      </c>
      <c r="D821">
        <f t="shared" ca="1" si="55"/>
        <v>0</v>
      </c>
      <c r="E821">
        <f t="shared" si="57"/>
        <v>5002</v>
      </c>
      <c r="F821" t="s">
        <v>727</v>
      </c>
    </row>
    <row r="822" spans="1:6" ht="15.6" x14ac:dyDescent="0.3">
      <c r="A822" s="270" t="s">
        <v>663</v>
      </c>
      <c r="B822" s="270" t="s">
        <v>668</v>
      </c>
      <c r="C822">
        <f t="shared" si="58"/>
        <v>21</v>
      </c>
      <c r="D822">
        <f t="shared" ca="1" si="55"/>
        <v>1</v>
      </c>
      <c r="E822">
        <f t="shared" si="57"/>
        <v>5033</v>
      </c>
      <c r="F822" t="s">
        <v>727</v>
      </c>
    </row>
    <row r="823" spans="1:6" ht="15.6" x14ac:dyDescent="0.3">
      <c r="A823" s="270" t="s">
        <v>649</v>
      </c>
      <c r="B823" s="270" t="s">
        <v>683</v>
      </c>
      <c r="C823">
        <f t="shared" si="58"/>
        <v>21</v>
      </c>
      <c r="D823">
        <f t="shared" ca="1" si="55"/>
        <v>1</v>
      </c>
      <c r="E823">
        <f t="shared" si="57"/>
        <v>5064</v>
      </c>
      <c r="F823" t="s">
        <v>727</v>
      </c>
    </row>
    <row r="824" spans="1:6" ht="15.6" x14ac:dyDescent="0.3">
      <c r="A824" s="270" t="s">
        <v>635</v>
      </c>
      <c r="B824" s="270" t="s">
        <v>684</v>
      </c>
      <c r="C824">
        <f t="shared" si="58"/>
        <v>21</v>
      </c>
      <c r="D824">
        <f t="shared" ca="1" si="55"/>
        <v>0</v>
      </c>
      <c r="E824">
        <f t="shared" si="57"/>
        <v>5095</v>
      </c>
      <c r="F824" t="s">
        <v>727</v>
      </c>
    </row>
    <row r="825" spans="1:6" ht="15.6" x14ac:dyDescent="0.3">
      <c r="A825" s="270" t="s">
        <v>662</v>
      </c>
      <c r="B825" s="270" t="s">
        <v>697</v>
      </c>
      <c r="C825">
        <f t="shared" si="58"/>
        <v>21</v>
      </c>
      <c r="D825">
        <f t="shared" ca="1" si="55"/>
        <v>0</v>
      </c>
      <c r="E825">
        <f t="shared" si="57"/>
        <v>5126</v>
      </c>
      <c r="F825" t="s">
        <v>727</v>
      </c>
    </row>
    <row r="826" spans="1:6" ht="15.6" x14ac:dyDescent="0.3">
      <c r="A826" s="270" t="s">
        <v>657</v>
      </c>
      <c r="B826" s="270" t="s">
        <v>693</v>
      </c>
      <c r="C826">
        <f t="shared" si="58"/>
        <v>21</v>
      </c>
      <c r="D826">
        <f t="shared" ca="1" si="55"/>
        <v>0</v>
      </c>
      <c r="E826">
        <f t="shared" si="57"/>
        <v>5157</v>
      </c>
      <c r="F826" t="s">
        <v>727</v>
      </c>
    </row>
    <row r="827" spans="1:6" ht="15.6" x14ac:dyDescent="0.3">
      <c r="A827" s="270" t="s">
        <v>655</v>
      </c>
      <c r="B827" s="270" t="s">
        <v>715</v>
      </c>
      <c r="C827">
        <f t="shared" si="58"/>
        <v>21</v>
      </c>
      <c r="D827">
        <f t="shared" ca="1" si="55"/>
        <v>0</v>
      </c>
      <c r="E827">
        <f t="shared" si="57"/>
        <v>5188</v>
      </c>
      <c r="F827" t="s">
        <v>727</v>
      </c>
    </row>
    <row r="828" spans="1:6" ht="15.6" x14ac:dyDescent="0.3">
      <c r="A828" s="270" t="s">
        <v>653</v>
      </c>
      <c r="B828" s="270" t="s">
        <v>691</v>
      </c>
      <c r="C828">
        <f t="shared" si="58"/>
        <v>21</v>
      </c>
      <c r="D828">
        <f t="shared" ca="1" si="55"/>
        <v>0</v>
      </c>
      <c r="E828">
        <f t="shared" si="57"/>
        <v>5219</v>
      </c>
      <c r="F828" t="s">
        <v>727</v>
      </c>
    </row>
    <row r="829" spans="1:6" ht="15.6" x14ac:dyDescent="0.3">
      <c r="A829" s="270" t="s">
        <v>658</v>
      </c>
      <c r="B829" s="270" t="s">
        <v>688</v>
      </c>
      <c r="C829">
        <f t="shared" si="58"/>
        <v>21</v>
      </c>
      <c r="D829">
        <f t="shared" ca="1" si="55"/>
        <v>1</v>
      </c>
      <c r="E829">
        <f t="shared" si="57"/>
        <v>5250</v>
      </c>
      <c r="F829" t="s">
        <v>727</v>
      </c>
    </row>
    <row r="830" spans="1:6" ht="15.6" x14ac:dyDescent="0.3">
      <c r="A830" s="270" t="s">
        <v>662</v>
      </c>
      <c r="B830" s="270" t="s">
        <v>670</v>
      </c>
      <c r="C830">
        <f>C828+3</f>
        <v>24</v>
      </c>
      <c r="D830">
        <f t="shared" ca="1" si="55"/>
        <v>1</v>
      </c>
      <c r="E830">
        <f t="shared" si="57"/>
        <v>5281</v>
      </c>
      <c r="F830" t="s">
        <v>727</v>
      </c>
    </row>
    <row r="831" spans="1:6" ht="15.6" x14ac:dyDescent="0.3">
      <c r="A831" s="270" t="s">
        <v>636</v>
      </c>
      <c r="B831" s="270" t="s">
        <v>691</v>
      </c>
      <c r="C831">
        <f t="shared" ref="C831:C848" si="59">C829+3</f>
        <v>24</v>
      </c>
      <c r="D831">
        <f t="shared" ca="1" si="55"/>
        <v>1</v>
      </c>
      <c r="E831">
        <f t="shared" si="57"/>
        <v>5312</v>
      </c>
      <c r="F831" t="s">
        <v>727</v>
      </c>
    </row>
    <row r="832" spans="1:6" ht="15.6" x14ac:dyDescent="0.3">
      <c r="A832" s="270" t="s">
        <v>659</v>
      </c>
      <c r="B832" s="270" t="s">
        <v>712</v>
      </c>
      <c r="C832">
        <f t="shared" si="59"/>
        <v>27</v>
      </c>
      <c r="D832">
        <f t="shared" ca="1" si="55"/>
        <v>0</v>
      </c>
      <c r="E832">
        <f t="shared" si="57"/>
        <v>5343</v>
      </c>
      <c r="F832" t="s">
        <v>727</v>
      </c>
    </row>
    <row r="833" spans="1:6" ht="15.6" x14ac:dyDescent="0.3">
      <c r="A833" s="270" t="s">
        <v>660</v>
      </c>
      <c r="B833" s="270" t="s">
        <v>715</v>
      </c>
      <c r="C833">
        <f t="shared" si="59"/>
        <v>27</v>
      </c>
      <c r="D833">
        <f t="shared" ca="1" si="55"/>
        <v>0</v>
      </c>
      <c r="E833">
        <f t="shared" si="57"/>
        <v>5374</v>
      </c>
      <c r="F833" t="s">
        <v>727</v>
      </c>
    </row>
    <row r="834" spans="1:6" ht="15.6" x14ac:dyDescent="0.3">
      <c r="A834" s="270" t="s">
        <v>628</v>
      </c>
      <c r="B834" s="270" t="s">
        <v>698</v>
      </c>
      <c r="C834">
        <f t="shared" si="59"/>
        <v>30</v>
      </c>
      <c r="D834">
        <f t="shared" ca="1" si="55"/>
        <v>1</v>
      </c>
      <c r="E834">
        <f t="shared" si="57"/>
        <v>5405</v>
      </c>
      <c r="F834" t="s">
        <v>727</v>
      </c>
    </row>
    <row r="835" spans="1:6" ht="15.6" x14ac:dyDescent="0.3">
      <c r="A835" s="270" t="s">
        <v>628</v>
      </c>
      <c r="B835" s="270" t="s">
        <v>683</v>
      </c>
      <c r="C835">
        <f t="shared" si="59"/>
        <v>30</v>
      </c>
      <c r="D835">
        <f t="shared" ref="D835:D898" ca="1" si="60">RANDBETWEEN(0,1)</f>
        <v>1</v>
      </c>
      <c r="E835">
        <f t="shared" si="57"/>
        <v>5436</v>
      </c>
      <c r="F835" t="s">
        <v>727</v>
      </c>
    </row>
    <row r="836" spans="1:6" ht="15.6" x14ac:dyDescent="0.3">
      <c r="A836" s="270" t="s">
        <v>652</v>
      </c>
      <c r="B836" s="270" t="s">
        <v>676</v>
      </c>
      <c r="C836">
        <f t="shared" si="59"/>
        <v>33</v>
      </c>
      <c r="D836">
        <f t="shared" ca="1" si="60"/>
        <v>0</v>
      </c>
      <c r="E836">
        <f t="shared" si="57"/>
        <v>5467</v>
      </c>
      <c r="F836" t="s">
        <v>727</v>
      </c>
    </row>
    <row r="837" spans="1:6" ht="15.6" x14ac:dyDescent="0.3">
      <c r="A837" s="270" t="s">
        <v>661</v>
      </c>
      <c r="B837" s="270" t="s">
        <v>687</v>
      </c>
      <c r="C837">
        <f t="shared" si="59"/>
        <v>33</v>
      </c>
      <c r="D837">
        <f t="shared" ca="1" si="60"/>
        <v>1</v>
      </c>
      <c r="E837">
        <f t="shared" si="57"/>
        <v>5498</v>
      </c>
      <c r="F837" t="s">
        <v>727</v>
      </c>
    </row>
    <row r="838" spans="1:6" ht="15.6" x14ac:dyDescent="0.3">
      <c r="A838" s="270" t="s">
        <v>621</v>
      </c>
      <c r="B838" s="270" t="s">
        <v>698</v>
      </c>
      <c r="C838">
        <f t="shared" si="59"/>
        <v>36</v>
      </c>
      <c r="D838">
        <f t="shared" ca="1" si="60"/>
        <v>1</v>
      </c>
      <c r="E838">
        <f t="shared" si="57"/>
        <v>5529</v>
      </c>
      <c r="F838" t="s">
        <v>727</v>
      </c>
    </row>
    <row r="839" spans="1:6" ht="15.6" x14ac:dyDescent="0.3">
      <c r="A839" s="270" t="s">
        <v>653</v>
      </c>
      <c r="B839" s="270" t="s">
        <v>667</v>
      </c>
      <c r="C839">
        <f t="shared" si="59"/>
        <v>36</v>
      </c>
      <c r="D839">
        <f t="shared" ca="1" si="60"/>
        <v>1</v>
      </c>
      <c r="E839">
        <f t="shared" si="57"/>
        <v>5560</v>
      </c>
      <c r="F839" t="s">
        <v>727</v>
      </c>
    </row>
    <row r="840" spans="1:6" ht="15.6" x14ac:dyDescent="0.3">
      <c r="A840" s="270" t="s">
        <v>643</v>
      </c>
      <c r="B840" s="270" t="s">
        <v>701</v>
      </c>
      <c r="C840">
        <f t="shared" si="59"/>
        <v>39</v>
      </c>
      <c r="D840">
        <f t="shared" ca="1" si="60"/>
        <v>1</v>
      </c>
      <c r="E840">
        <f t="shared" si="57"/>
        <v>5591</v>
      </c>
      <c r="F840" t="s">
        <v>727</v>
      </c>
    </row>
    <row r="841" spans="1:6" ht="15.6" x14ac:dyDescent="0.3">
      <c r="A841" s="270" t="s">
        <v>646</v>
      </c>
      <c r="B841" s="270" t="s">
        <v>680</v>
      </c>
      <c r="C841">
        <f t="shared" si="59"/>
        <v>39</v>
      </c>
      <c r="D841">
        <f t="shared" ca="1" si="60"/>
        <v>0</v>
      </c>
      <c r="E841">
        <f t="shared" si="57"/>
        <v>5622</v>
      </c>
      <c r="F841" t="s">
        <v>727</v>
      </c>
    </row>
    <row r="842" spans="1:6" ht="15.6" x14ac:dyDescent="0.3">
      <c r="A842" s="270" t="s">
        <v>634</v>
      </c>
      <c r="B842" s="270" t="s">
        <v>704</v>
      </c>
      <c r="C842">
        <f t="shared" si="59"/>
        <v>42</v>
      </c>
      <c r="D842">
        <f t="shared" ca="1" si="60"/>
        <v>1</v>
      </c>
      <c r="E842">
        <f t="shared" si="57"/>
        <v>5653</v>
      </c>
      <c r="F842" t="s">
        <v>727</v>
      </c>
    </row>
    <row r="843" spans="1:6" ht="15.6" x14ac:dyDescent="0.3">
      <c r="A843" s="270" t="s">
        <v>635</v>
      </c>
      <c r="B843" s="270" t="s">
        <v>678</v>
      </c>
      <c r="C843">
        <f t="shared" si="59"/>
        <v>42</v>
      </c>
      <c r="D843">
        <f t="shared" ca="1" si="60"/>
        <v>1</v>
      </c>
      <c r="E843">
        <f t="shared" si="57"/>
        <v>5684</v>
      </c>
      <c r="F843" t="s">
        <v>727</v>
      </c>
    </row>
    <row r="844" spans="1:6" ht="15.6" x14ac:dyDescent="0.3">
      <c r="A844" s="270" t="s">
        <v>664</v>
      </c>
      <c r="B844" s="270" t="s">
        <v>699</v>
      </c>
      <c r="C844">
        <f t="shared" si="59"/>
        <v>45</v>
      </c>
      <c r="D844">
        <f t="shared" ca="1" si="60"/>
        <v>1</v>
      </c>
      <c r="E844">
        <f t="shared" si="57"/>
        <v>5715</v>
      </c>
      <c r="F844" t="s">
        <v>727</v>
      </c>
    </row>
    <row r="845" spans="1:6" ht="15.6" x14ac:dyDescent="0.3">
      <c r="A845" s="270" t="s">
        <v>640</v>
      </c>
      <c r="B845" s="270" t="s">
        <v>715</v>
      </c>
      <c r="C845">
        <f t="shared" si="59"/>
        <v>45</v>
      </c>
      <c r="D845">
        <f t="shared" ca="1" si="60"/>
        <v>0</v>
      </c>
      <c r="E845">
        <f t="shared" ref="E845:E908" si="61">E844+31</f>
        <v>5746</v>
      </c>
      <c r="F845" t="s">
        <v>727</v>
      </c>
    </row>
    <row r="846" spans="1:6" ht="15.6" x14ac:dyDescent="0.3">
      <c r="A846" s="270" t="s">
        <v>660</v>
      </c>
      <c r="B846" s="270" t="s">
        <v>668</v>
      </c>
      <c r="C846">
        <f>C844+3</f>
        <v>48</v>
      </c>
      <c r="D846">
        <f t="shared" ca="1" si="60"/>
        <v>1</v>
      </c>
      <c r="E846">
        <f t="shared" si="61"/>
        <v>5777</v>
      </c>
      <c r="F846" t="s">
        <v>727</v>
      </c>
    </row>
    <row r="847" spans="1:6" ht="15.6" x14ac:dyDescent="0.3">
      <c r="A847" s="270" t="s">
        <v>654</v>
      </c>
      <c r="B847" s="270" t="s">
        <v>670</v>
      </c>
      <c r="C847">
        <f t="shared" si="59"/>
        <v>48</v>
      </c>
      <c r="D847">
        <f t="shared" ca="1" si="60"/>
        <v>1</v>
      </c>
      <c r="E847">
        <f t="shared" si="61"/>
        <v>5808</v>
      </c>
      <c r="F847" t="s">
        <v>727</v>
      </c>
    </row>
    <row r="848" spans="1:6" ht="15.6" x14ac:dyDescent="0.3">
      <c r="A848" s="270" t="s">
        <v>617</v>
      </c>
      <c r="B848" s="270" t="s">
        <v>686</v>
      </c>
      <c r="C848">
        <f t="shared" si="59"/>
        <v>51</v>
      </c>
      <c r="D848">
        <f t="shared" ca="1" si="60"/>
        <v>0</v>
      </c>
      <c r="E848">
        <f t="shared" si="61"/>
        <v>5839</v>
      </c>
      <c r="F848" t="s">
        <v>727</v>
      </c>
    </row>
    <row r="849" spans="1:6" ht="15.6" x14ac:dyDescent="0.3">
      <c r="A849" s="270" t="s">
        <v>658</v>
      </c>
      <c r="B849" s="270" t="s">
        <v>709</v>
      </c>
      <c r="C849">
        <f>C848-3</f>
        <v>48</v>
      </c>
      <c r="D849">
        <f t="shared" ca="1" si="60"/>
        <v>1</v>
      </c>
      <c r="E849">
        <f t="shared" si="61"/>
        <v>5870</v>
      </c>
      <c r="F849" t="s">
        <v>727</v>
      </c>
    </row>
    <row r="850" spans="1:6" ht="15.6" x14ac:dyDescent="0.3">
      <c r="A850" s="270" t="s">
        <v>640</v>
      </c>
      <c r="B850" s="270" t="s">
        <v>702</v>
      </c>
      <c r="C850">
        <f t="shared" ref="C850:C860" si="62">C849-3</f>
        <v>45</v>
      </c>
      <c r="D850">
        <f t="shared" ca="1" si="60"/>
        <v>0</v>
      </c>
      <c r="E850">
        <f t="shared" si="61"/>
        <v>5901</v>
      </c>
      <c r="F850" t="s">
        <v>727</v>
      </c>
    </row>
    <row r="851" spans="1:6" ht="15.6" x14ac:dyDescent="0.3">
      <c r="A851" s="270" t="s">
        <v>624</v>
      </c>
      <c r="B851" s="270" t="s">
        <v>714</v>
      </c>
      <c r="C851">
        <f t="shared" si="62"/>
        <v>42</v>
      </c>
      <c r="D851">
        <f t="shared" ca="1" si="60"/>
        <v>0</v>
      </c>
      <c r="E851">
        <f t="shared" si="61"/>
        <v>5932</v>
      </c>
      <c r="F851" t="s">
        <v>727</v>
      </c>
    </row>
    <row r="852" spans="1:6" ht="15.6" x14ac:dyDescent="0.3">
      <c r="A852" s="270" t="s">
        <v>650</v>
      </c>
      <c r="B852" s="270" t="s">
        <v>715</v>
      </c>
      <c r="C852">
        <f t="shared" si="62"/>
        <v>39</v>
      </c>
      <c r="D852">
        <f t="shared" ca="1" si="60"/>
        <v>1</v>
      </c>
      <c r="E852">
        <f t="shared" si="61"/>
        <v>5963</v>
      </c>
      <c r="F852" t="s">
        <v>727</v>
      </c>
    </row>
    <row r="853" spans="1:6" ht="15.6" x14ac:dyDescent="0.3">
      <c r="A853" s="270" t="s">
        <v>617</v>
      </c>
      <c r="B853" s="270" t="s">
        <v>700</v>
      </c>
      <c r="C853">
        <f t="shared" si="62"/>
        <v>36</v>
      </c>
      <c r="D853">
        <f t="shared" ca="1" si="60"/>
        <v>0</v>
      </c>
      <c r="E853">
        <f t="shared" si="61"/>
        <v>5994</v>
      </c>
      <c r="F853" t="s">
        <v>727</v>
      </c>
    </row>
    <row r="854" spans="1:6" ht="15.6" x14ac:dyDescent="0.3">
      <c r="A854" s="270" t="s">
        <v>629</v>
      </c>
      <c r="B854" s="270" t="s">
        <v>703</v>
      </c>
      <c r="C854">
        <f t="shared" si="62"/>
        <v>33</v>
      </c>
      <c r="D854">
        <f t="shared" ca="1" si="60"/>
        <v>1</v>
      </c>
      <c r="E854">
        <f t="shared" si="61"/>
        <v>6025</v>
      </c>
      <c r="F854" t="s">
        <v>727</v>
      </c>
    </row>
    <row r="855" spans="1:6" ht="15.6" x14ac:dyDescent="0.3">
      <c r="A855" s="270" t="s">
        <v>661</v>
      </c>
      <c r="B855" s="270" t="s">
        <v>668</v>
      </c>
      <c r="C855">
        <f t="shared" si="62"/>
        <v>30</v>
      </c>
      <c r="D855">
        <f t="shared" ca="1" si="60"/>
        <v>1</v>
      </c>
      <c r="E855">
        <f t="shared" si="61"/>
        <v>6056</v>
      </c>
      <c r="F855" t="s">
        <v>727</v>
      </c>
    </row>
    <row r="856" spans="1:6" ht="15.6" x14ac:dyDescent="0.3">
      <c r="A856" s="270" t="s">
        <v>626</v>
      </c>
      <c r="B856" s="270" t="s">
        <v>706</v>
      </c>
      <c r="C856">
        <f t="shared" si="62"/>
        <v>27</v>
      </c>
      <c r="D856">
        <f t="shared" ca="1" si="60"/>
        <v>0</v>
      </c>
      <c r="E856">
        <f t="shared" si="61"/>
        <v>6087</v>
      </c>
      <c r="F856" t="s">
        <v>727</v>
      </c>
    </row>
    <row r="857" spans="1:6" ht="15.6" x14ac:dyDescent="0.3">
      <c r="A857" s="270" t="s">
        <v>639</v>
      </c>
      <c r="B857" s="270" t="s">
        <v>715</v>
      </c>
      <c r="C857">
        <f t="shared" si="62"/>
        <v>24</v>
      </c>
      <c r="D857">
        <f t="shared" ca="1" si="60"/>
        <v>0</v>
      </c>
      <c r="E857">
        <f t="shared" si="61"/>
        <v>6118</v>
      </c>
      <c r="F857" t="s">
        <v>727</v>
      </c>
    </row>
    <row r="858" spans="1:6" ht="15.6" x14ac:dyDescent="0.3">
      <c r="A858" s="270" t="s">
        <v>621</v>
      </c>
      <c r="B858" s="270" t="s">
        <v>697</v>
      </c>
      <c r="C858">
        <f t="shared" si="62"/>
        <v>21</v>
      </c>
      <c r="D858">
        <f t="shared" ca="1" si="60"/>
        <v>0</v>
      </c>
      <c r="E858">
        <f t="shared" si="61"/>
        <v>6149</v>
      </c>
      <c r="F858" t="s">
        <v>727</v>
      </c>
    </row>
    <row r="859" spans="1:6" ht="15.6" x14ac:dyDescent="0.3">
      <c r="A859" s="270" t="s">
        <v>644</v>
      </c>
      <c r="B859" s="270" t="s">
        <v>711</v>
      </c>
      <c r="C859">
        <f t="shared" si="62"/>
        <v>18</v>
      </c>
      <c r="D859">
        <f t="shared" ca="1" si="60"/>
        <v>1</v>
      </c>
      <c r="E859">
        <f t="shared" si="61"/>
        <v>6180</v>
      </c>
      <c r="F859" t="s">
        <v>727</v>
      </c>
    </row>
    <row r="860" spans="1:6" ht="15.6" x14ac:dyDescent="0.3">
      <c r="A860" s="270" t="s">
        <v>652</v>
      </c>
      <c r="B860" s="270" t="s">
        <v>698</v>
      </c>
      <c r="C860">
        <f t="shared" si="62"/>
        <v>15</v>
      </c>
      <c r="D860">
        <f t="shared" ca="1" si="60"/>
        <v>0</v>
      </c>
      <c r="E860">
        <f t="shared" si="61"/>
        <v>6211</v>
      </c>
      <c r="F860" t="s">
        <v>727</v>
      </c>
    </row>
    <row r="861" spans="1:6" ht="15.6" x14ac:dyDescent="0.3">
      <c r="A861" s="270" t="s">
        <v>618</v>
      </c>
      <c r="B861" s="270" t="s">
        <v>691</v>
      </c>
      <c r="C861">
        <f>C851-3</f>
        <v>39</v>
      </c>
      <c r="D861">
        <f t="shared" ca="1" si="60"/>
        <v>0</v>
      </c>
      <c r="E861">
        <f t="shared" si="61"/>
        <v>6242</v>
      </c>
      <c r="F861" t="s">
        <v>727</v>
      </c>
    </row>
    <row r="862" spans="1:6" ht="15.6" x14ac:dyDescent="0.3">
      <c r="A862" s="270" t="s">
        <v>640</v>
      </c>
      <c r="B862" s="270" t="s">
        <v>673</v>
      </c>
      <c r="C862">
        <f t="shared" ref="C862:C867" si="63">C852-3</f>
        <v>36</v>
      </c>
      <c r="D862">
        <f t="shared" ca="1" si="60"/>
        <v>1</v>
      </c>
      <c r="E862">
        <f t="shared" si="61"/>
        <v>6273</v>
      </c>
      <c r="F862" t="s">
        <v>727</v>
      </c>
    </row>
    <row r="863" spans="1:6" ht="15.6" x14ac:dyDescent="0.3">
      <c r="A863" s="270" t="s">
        <v>638</v>
      </c>
      <c r="B863" s="270" t="s">
        <v>700</v>
      </c>
      <c r="C863">
        <f t="shared" si="63"/>
        <v>33</v>
      </c>
      <c r="D863">
        <f t="shared" ca="1" si="60"/>
        <v>1</v>
      </c>
      <c r="E863">
        <f t="shared" si="61"/>
        <v>6304</v>
      </c>
      <c r="F863" t="s">
        <v>727</v>
      </c>
    </row>
    <row r="864" spans="1:6" ht="15.6" x14ac:dyDescent="0.3">
      <c r="A864" s="270" t="s">
        <v>645</v>
      </c>
      <c r="B864" s="270" t="s">
        <v>709</v>
      </c>
      <c r="C864">
        <f t="shared" si="63"/>
        <v>30</v>
      </c>
      <c r="D864">
        <f t="shared" ca="1" si="60"/>
        <v>1</v>
      </c>
      <c r="E864">
        <f t="shared" si="61"/>
        <v>6335</v>
      </c>
      <c r="F864" t="s">
        <v>727</v>
      </c>
    </row>
    <row r="865" spans="1:6" ht="15.6" x14ac:dyDescent="0.3">
      <c r="A865" s="270" t="s">
        <v>648</v>
      </c>
      <c r="B865" s="270" t="s">
        <v>704</v>
      </c>
      <c r="C865">
        <f t="shared" si="63"/>
        <v>27</v>
      </c>
      <c r="D865">
        <f t="shared" ca="1" si="60"/>
        <v>1</v>
      </c>
      <c r="E865">
        <f t="shared" si="61"/>
        <v>6366</v>
      </c>
      <c r="F865" t="s">
        <v>727</v>
      </c>
    </row>
    <row r="866" spans="1:6" ht="15.6" x14ac:dyDescent="0.3">
      <c r="A866" s="270" t="s">
        <v>629</v>
      </c>
      <c r="B866" s="270" t="s">
        <v>686</v>
      </c>
      <c r="C866">
        <f t="shared" si="63"/>
        <v>24</v>
      </c>
      <c r="D866">
        <f t="shared" ca="1" si="60"/>
        <v>0</v>
      </c>
      <c r="E866">
        <f t="shared" si="61"/>
        <v>6397</v>
      </c>
      <c r="F866" t="s">
        <v>727</v>
      </c>
    </row>
    <row r="867" spans="1:6" ht="15.6" x14ac:dyDescent="0.3">
      <c r="A867" s="270" t="s">
        <v>659</v>
      </c>
      <c r="B867" s="270" t="s">
        <v>673</v>
      </c>
      <c r="C867">
        <f t="shared" si="63"/>
        <v>21</v>
      </c>
      <c r="D867">
        <f t="shared" ca="1" si="60"/>
        <v>1</v>
      </c>
      <c r="E867">
        <f t="shared" si="61"/>
        <v>6428</v>
      </c>
      <c r="F867" t="s">
        <v>727</v>
      </c>
    </row>
    <row r="868" spans="1:6" ht="15.6" x14ac:dyDescent="0.3">
      <c r="A868" s="270" t="s">
        <v>650</v>
      </c>
      <c r="B868" s="270" t="s">
        <v>680</v>
      </c>
      <c r="C868">
        <f>C855-2</f>
        <v>28</v>
      </c>
      <c r="D868">
        <f t="shared" ca="1" si="60"/>
        <v>1</v>
      </c>
      <c r="E868">
        <f t="shared" si="61"/>
        <v>6459</v>
      </c>
      <c r="F868" t="s">
        <v>727</v>
      </c>
    </row>
    <row r="869" spans="1:6" ht="15.6" x14ac:dyDescent="0.3">
      <c r="A869" s="270" t="s">
        <v>659</v>
      </c>
      <c r="B869" s="270" t="s">
        <v>710</v>
      </c>
      <c r="C869">
        <f t="shared" ref="C869:C898" si="64">C856-2</f>
        <v>25</v>
      </c>
      <c r="D869">
        <f t="shared" ca="1" si="60"/>
        <v>1</v>
      </c>
      <c r="E869">
        <f t="shared" si="61"/>
        <v>6490</v>
      </c>
      <c r="F869" t="s">
        <v>727</v>
      </c>
    </row>
    <row r="870" spans="1:6" ht="15.6" x14ac:dyDescent="0.3">
      <c r="A870" s="270" t="s">
        <v>632</v>
      </c>
      <c r="B870" s="270" t="s">
        <v>703</v>
      </c>
      <c r="C870">
        <f t="shared" si="64"/>
        <v>22</v>
      </c>
      <c r="D870">
        <f t="shared" ca="1" si="60"/>
        <v>1</v>
      </c>
      <c r="E870">
        <f t="shared" si="61"/>
        <v>6521</v>
      </c>
      <c r="F870" t="s">
        <v>727</v>
      </c>
    </row>
    <row r="871" spans="1:6" ht="15.6" x14ac:dyDescent="0.3">
      <c r="A871" s="270" t="s">
        <v>649</v>
      </c>
      <c r="B871" s="270" t="s">
        <v>691</v>
      </c>
      <c r="C871">
        <f t="shared" si="64"/>
        <v>19</v>
      </c>
      <c r="D871">
        <f t="shared" ca="1" si="60"/>
        <v>0</v>
      </c>
      <c r="E871">
        <f t="shared" si="61"/>
        <v>6552</v>
      </c>
      <c r="F871" t="s">
        <v>727</v>
      </c>
    </row>
    <row r="872" spans="1:6" ht="15.6" x14ac:dyDescent="0.3">
      <c r="A872" s="270" t="s">
        <v>636</v>
      </c>
      <c r="B872" s="270" t="s">
        <v>690</v>
      </c>
      <c r="C872">
        <f t="shared" si="64"/>
        <v>16</v>
      </c>
      <c r="D872">
        <f t="shared" ca="1" si="60"/>
        <v>0</v>
      </c>
      <c r="E872">
        <f t="shared" si="61"/>
        <v>6583</v>
      </c>
      <c r="F872" t="s">
        <v>727</v>
      </c>
    </row>
    <row r="873" spans="1:6" ht="15.6" x14ac:dyDescent="0.3">
      <c r="A873" s="270" t="s">
        <v>644</v>
      </c>
      <c r="B873" s="270" t="s">
        <v>682</v>
      </c>
      <c r="C873">
        <f t="shared" si="64"/>
        <v>13</v>
      </c>
      <c r="D873">
        <f t="shared" ca="1" si="60"/>
        <v>1</v>
      </c>
      <c r="E873">
        <f t="shared" si="61"/>
        <v>6614</v>
      </c>
      <c r="F873" t="s">
        <v>727</v>
      </c>
    </row>
    <row r="874" spans="1:6" ht="15.6" x14ac:dyDescent="0.3">
      <c r="A874" s="270" t="s">
        <v>624</v>
      </c>
      <c r="B874" s="270" t="s">
        <v>698</v>
      </c>
      <c r="C874">
        <f t="shared" si="64"/>
        <v>37</v>
      </c>
      <c r="D874">
        <f t="shared" ca="1" si="60"/>
        <v>1</v>
      </c>
      <c r="E874">
        <f t="shared" si="61"/>
        <v>6645</v>
      </c>
      <c r="F874" t="s">
        <v>727</v>
      </c>
    </row>
    <row r="875" spans="1:6" ht="15.6" x14ac:dyDescent="0.3">
      <c r="A875" s="270" t="s">
        <v>662</v>
      </c>
      <c r="B875" s="270" t="s">
        <v>669</v>
      </c>
      <c r="C875">
        <f t="shared" si="64"/>
        <v>34</v>
      </c>
      <c r="D875">
        <f t="shared" ca="1" si="60"/>
        <v>1</v>
      </c>
      <c r="E875">
        <f t="shared" si="61"/>
        <v>6676</v>
      </c>
      <c r="F875" t="s">
        <v>727</v>
      </c>
    </row>
    <row r="876" spans="1:6" ht="15.6" x14ac:dyDescent="0.3">
      <c r="A876" s="270" t="s">
        <v>625</v>
      </c>
      <c r="B876" s="270" t="s">
        <v>667</v>
      </c>
      <c r="C876">
        <f t="shared" si="64"/>
        <v>31</v>
      </c>
      <c r="D876">
        <f t="shared" ca="1" si="60"/>
        <v>1</v>
      </c>
      <c r="E876">
        <f t="shared" si="61"/>
        <v>6707</v>
      </c>
      <c r="F876" t="s">
        <v>727</v>
      </c>
    </row>
    <row r="877" spans="1:6" ht="15.6" x14ac:dyDescent="0.3">
      <c r="A877" s="270" t="s">
        <v>624</v>
      </c>
      <c r="B877" s="270" t="s">
        <v>705</v>
      </c>
      <c r="C877">
        <f t="shared" si="64"/>
        <v>28</v>
      </c>
      <c r="D877">
        <f t="shared" ca="1" si="60"/>
        <v>1</v>
      </c>
      <c r="E877">
        <f t="shared" si="61"/>
        <v>6738</v>
      </c>
      <c r="F877" t="s">
        <v>727</v>
      </c>
    </row>
    <row r="878" spans="1:6" ht="15.6" x14ac:dyDescent="0.3">
      <c r="A878" s="270" t="s">
        <v>630</v>
      </c>
      <c r="B878" s="270" t="s">
        <v>699</v>
      </c>
      <c r="C878">
        <f t="shared" si="64"/>
        <v>25</v>
      </c>
      <c r="D878">
        <f t="shared" ca="1" si="60"/>
        <v>0</v>
      </c>
      <c r="E878">
        <f t="shared" si="61"/>
        <v>6769</v>
      </c>
      <c r="F878" t="s">
        <v>727</v>
      </c>
    </row>
    <row r="879" spans="1:6" ht="15.6" x14ac:dyDescent="0.3">
      <c r="A879" s="270" t="s">
        <v>652</v>
      </c>
      <c r="B879" s="270" t="s">
        <v>712</v>
      </c>
      <c r="C879">
        <f t="shared" si="64"/>
        <v>22</v>
      </c>
      <c r="D879">
        <f t="shared" ca="1" si="60"/>
        <v>0</v>
      </c>
      <c r="E879">
        <f t="shared" si="61"/>
        <v>6800</v>
      </c>
      <c r="F879" t="s">
        <v>727</v>
      </c>
    </row>
    <row r="880" spans="1:6" ht="15.6" x14ac:dyDescent="0.3">
      <c r="A880" s="270" t="s">
        <v>660</v>
      </c>
      <c r="B880" s="270" t="s">
        <v>685</v>
      </c>
      <c r="C880">
        <f t="shared" si="64"/>
        <v>19</v>
      </c>
      <c r="D880">
        <f t="shared" ca="1" si="60"/>
        <v>1</v>
      </c>
      <c r="E880">
        <f t="shared" si="61"/>
        <v>6831</v>
      </c>
      <c r="F880" t="s">
        <v>727</v>
      </c>
    </row>
    <row r="881" spans="1:6" ht="15.6" x14ac:dyDescent="0.3">
      <c r="A881" s="270" t="s">
        <v>660</v>
      </c>
      <c r="B881" s="270" t="s">
        <v>678</v>
      </c>
      <c r="C881">
        <f t="shared" si="64"/>
        <v>26</v>
      </c>
      <c r="D881">
        <f t="shared" ca="1" si="60"/>
        <v>0</v>
      </c>
      <c r="E881">
        <f t="shared" si="61"/>
        <v>6862</v>
      </c>
      <c r="F881" t="s">
        <v>727</v>
      </c>
    </row>
    <row r="882" spans="1:6" ht="15.6" x14ac:dyDescent="0.3">
      <c r="A882" s="270" t="s">
        <v>664</v>
      </c>
      <c r="B882" s="270" t="s">
        <v>712</v>
      </c>
      <c r="C882">
        <f t="shared" si="64"/>
        <v>23</v>
      </c>
      <c r="D882">
        <f t="shared" ca="1" si="60"/>
        <v>0</v>
      </c>
      <c r="E882">
        <f t="shared" si="61"/>
        <v>6893</v>
      </c>
      <c r="F882" t="s">
        <v>727</v>
      </c>
    </row>
    <row r="883" spans="1:6" ht="15.6" x14ac:dyDescent="0.3">
      <c r="A883" s="270" t="s">
        <v>665</v>
      </c>
      <c r="B883" s="270" t="s">
        <v>696</v>
      </c>
      <c r="C883">
        <f t="shared" si="64"/>
        <v>20</v>
      </c>
      <c r="D883">
        <f t="shared" ca="1" si="60"/>
        <v>0</v>
      </c>
      <c r="E883">
        <f t="shared" si="61"/>
        <v>6924</v>
      </c>
      <c r="F883" t="s">
        <v>727</v>
      </c>
    </row>
    <row r="884" spans="1:6" ht="15.6" x14ac:dyDescent="0.3">
      <c r="A884" s="270" t="s">
        <v>641</v>
      </c>
      <c r="B884" s="270" t="s">
        <v>687</v>
      </c>
      <c r="C884">
        <f t="shared" si="64"/>
        <v>17</v>
      </c>
      <c r="D884">
        <f t="shared" ca="1" si="60"/>
        <v>0</v>
      </c>
      <c r="E884">
        <f t="shared" si="61"/>
        <v>6955</v>
      </c>
      <c r="F884" t="s">
        <v>727</v>
      </c>
    </row>
    <row r="885" spans="1:6" ht="15.6" x14ac:dyDescent="0.3">
      <c r="A885" s="270" t="s">
        <v>630</v>
      </c>
      <c r="B885" s="270" t="s">
        <v>676</v>
      </c>
      <c r="C885">
        <f t="shared" si="64"/>
        <v>14</v>
      </c>
      <c r="D885">
        <f t="shared" ca="1" si="60"/>
        <v>0</v>
      </c>
      <c r="E885">
        <f t="shared" si="61"/>
        <v>6986</v>
      </c>
      <c r="F885" t="s">
        <v>727</v>
      </c>
    </row>
    <row r="886" spans="1:6" ht="15.6" x14ac:dyDescent="0.3">
      <c r="A886" s="270" t="s">
        <v>655</v>
      </c>
      <c r="B886" s="270" t="s">
        <v>682</v>
      </c>
      <c r="C886">
        <f t="shared" si="64"/>
        <v>11</v>
      </c>
      <c r="D886">
        <f t="shared" ca="1" si="60"/>
        <v>1</v>
      </c>
      <c r="E886">
        <f t="shared" si="61"/>
        <v>7017</v>
      </c>
      <c r="F886" t="s">
        <v>727</v>
      </c>
    </row>
    <row r="887" spans="1:6" ht="15.6" x14ac:dyDescent="0.3">
      <c r="A887" s="270" t="s">
        <v>636</v>
      </c>
      <c r="B887" s="270" t="s">
        <v>698</v>
      </c>
      <c r="C887">
        <f t="shared" si="64"/>
        <v>35</v>
      </c>
      <c r="D887">
        <f t="shared" ca="1" si="60"/>
        <v>0</v>
      </c>
      <c r="E887">
        <f t="shared" si="61"/>
        <v>7048</v>
      </c>
      <c r="F887" t="s">
        <v>727</v>
      </c>
    </row>
    <row r="888" spans="1:6" ht="15.6" x14ac:dyDescent="0.3">
      <c r="A888" s="270" t="s">
        <v>644</v>
      </c>
      <c r="B888" s="270" t="s">
        <v>671</v>
      </c>
      <c r="C888">
        <f t="shared" si="64"/>
        <v>32</v>
      </c>
      <c r="D888">
        <f t="shared" ca="1" si="60"/>
        <v>0</v>
      </c>
      <c r="E888">
        <f t="shared" si="61"/>
        <v>7079</v>
      </c>
      <c r="F888" t="s">
        <v>727</v>
      </c>
    </row>
    <row r="889" spans="1:6" ht="15.6" x14ac:dyDescent="0.3">
      <c r="A889" s="270" t="s">
        <v>631</v>
      </c>
      <c r="B889" s="270" t="s">
        <v>684</v>
      </c>
      <c r="C889">
        <f t="shared" si="64"/>
        <v>29</v>
      </c>
      <c r="D889">
        <f t="shared" ca="1" si="60"/>
        <v>0</v>
      </c>
      <c r="E889">
        <f t="shared" si="61"/>
        <v>7110</v>
      </c>
      <c r="F889" t="s">
        <v>727</v>
      </c>
    </row>
    <row r="890" spans="1:6" ht="15.6" x14ac:dyDescent="0.3">
      <c r="A890" s="270" t="s">
        <v>640</v>
      </c>
      <c r="B890" s="270" t="s">
        <v>714</v>
      </c>
      <c r="C890">
        <f t="shared" si="64"/>
        <v>26</v>
      </c>
      <c r="D890">
        <f t="shared" ca="1" si="60"/>
        <v>1</v>
      </c>
      <c r="E890">
        <f t="shared" si="61"/>
        <v>7141</v>
      </c>
      <c r="F890" t="s">
        <v>727</v>
      </c>
    </row>
    <row r="891" spans="1:6" ht="15.6" x14ac:dyDescent="0.3">
      <c r="A891" s="270" t="s">
        <v>663</v>
      </c>
      <c r="B891" s="270" t="s">
        <v>702</v>
      </c>
      <c r="C891">
        <f t="shared" si="64"/>
        <v>23</v>
      </c>
      <c r="D891">
        <f t="shared" ca="1" si="60"/>
        <v>0</v>
      </c>
      <c r="E891">
        <f t="shared" si="61"/>
        <v>7172</v>
      </c>
      <c r="F891" t="s">
        <v>727</v>
      </c>
    </row>
    <row r="892" spans="1:6" ht="15.6" x14ac:dyDescent="0.3">
      <c r="A892" s="270" t="s">
        <v>622</v>
      </c>
      <c r="B892" s="270" t="s">
        <v>709</v>
      </c>
      <c r="C892">
        <f t="shared" si="64"/>
        <v>20</v>
      </c>
      <c r="D892">
        <f t="shared" ca="1" si="60"/>
        <v>1</v>
      </c>
      <c r="E892">
        <f t="shared" si="61"/>
        <v>7203</v>
      </c>
      <c r="F892" t="s">
        <v>727</v>
      </c>
    </row>
    <row r="893" spans="1:6" ht="15.6" x14ac:dyDescent="0.3">
      <c r="A893" s="270" t="s">
        <v>639</v>
      </c>
      <c r="B893" s="270" t="s">
        <v>568</v>
      </c>
      <c r="C893">
        <f t="shared" si="64"/>
        <v>17</v>
      </c>
      <c r="D893">
        <f t="shared" ca="1" si="60"/>
        <v>0</v>
      </c>
      <c r="E893">
        <f t="shared" si="61"/>
        <v>7234</v>
      </c>
      <c r="F893" t="s">
        <v>727</v>
      </c>
    </row>
    <row r="894" spans="1:6" ht="15.6" x14ac:dyDescent="0.3">
      <c r="A894" s="270" t="s">
        <v>635</v>
      </c>
      <c r="B894" s="270" t="s">
        <v>689</v>
      </c>
      <c r="C894">
        <f t="shared" si="64"/>
        <v>24</v>
      </c>
      <c r="D894">
        <f t="shared" ca="1" si="60"/>
        <v>0</v>
      </c>
      <c r="E894">
        <f t="shared" si="61"/>
        <v>7265</v>
      </c>
      <c r="F894" t="s">
        <v>727</v>
      </c>
    </row>
    <row r="895" spans="1:6" ht="15.6" x14ac:dyDescent="0.3">
      <c r="A895" s="270" t="s">
        <v>619</v>
      </c>
      <c r="B895" s="270" t="s">
        <v>693</v>
      </c>
      <c r="C895">
        <f t="shared" si="64"/>
        <v>21</v>
      </c>
      <c r="D895">
        <f t="shared" ca="1" si="60"/>
        <v>0</v>
      </c>
      <c r="E895">
        <f t="shared" si="61"/>
        <v>7296</v>
      </c>
      <c r="F895" t="s">
        <v>727</v>
      </c>
    </row>
    <row r="896" spans="1:6" ht="15.6" x14ac:dyDescent="0.3">
      <c r="A896" s="270" t="s">
        <v>644</v>
      </c>
      <c r="B896" s="270" t="s">
        <v>692</v>
      </c>
      <c r="C896">
        <f t="shared" si="64"/>
        <v>18</v>
      </c>
      <c r="D896">
        <f t="shared" ca="1" si="60"/>
        <v>0</v>
      </c>
      <c r="E896">
        <f t="shared" si="61"/>
        <v>7327</v>
      </c>
      <c r="F896" t="s">
        <v>727</v>
      </c>
    </row>
    <row r="897" spans="1:6" ht="15.6" x14ac:dyDescent="0.3">
      <c r="A897" s="270" t="s">
        <v>644</v>
      </c>
      <c r="B897" s="270" t="s">
        <v>694</v>
      </c>
      <c r="C897">
        <f t="shared" si="64"/>
        <v>15</v>
      </c>
      <c r="D897">
        <f t="shared" ca="1" si="60"/>
        <v>0</v>
      </c>
      <c r="E897">
        <f t="shared" si="61"/>
        <v>7358</v>
      </c>
      <c r="F897" t="s">
        <v>727</v>
      </c>
    </row>
    <row r="898" spans="1:6" ht="15.6" x14ac:dyDescent="0.3">
      <c r="A898" s="270" t="s">
        <v>662</v>
      </c>
      <c r="B898" s="270" t="s">
        <v>712</v>
      </c>
      <c r="C898">
        <f t="shared" si="64"/>
        <v>12</v>
      </c>
      <c r="D898">
        <f t="shared" ca="1" si="60"/>
        <v>1</v>
      </c>
      <c r="E898">
        <f t="shared" si="61"/>
        <v>7389</v>
      </c>
      <c r="F898" t="s">
        <v>727</v>
      </c>
    </row>
    <row r="899" spans="1:6" ht="15.6" x14ac:dyDescent="0.3">
      <c r="A899" s="270" t="s">
        <v>644</v>
      </c>
      <c r="B899" s="270" t="s">
        <v>715</v>
      </c>
      <c r="C899">
        <v>45</v>
      </c>
      <c r="D899">
        <f t="shared" ref="D899:D962" ca="1" si="65">RANDBETWEEN(0,1)</f>
        <v>0</v>
      </c>
      <c r="E899">
        <f t="shared" si="61"/>
        <v>7420</v>
      </c>
      <c r="F899" t="s">
        <v>727</v>
      </c>
    </row>
    <row r="900" spans="1:6" ht="15.6" x14ac:dyDescent="0.3">
      <c r="A900" s="270" t="s">
        <v>646</v>
      </c>
      <c r="B900" s="270" t="s">
        <v>706</v>
      </c>
      <c r="C900">
        <v>45</v>
      </c>
      <c r="D900">
        <f t="shared" ca="1" si="65"/>
        <v>1</v>
      </c>
      <c r="E900">
        <f t="shared" si="61"/>
        <v>7451</v>
      </c>
      <c r="F900" t="s">
        <v>727</v>
      </c>
    </row>
    <row r="901" spans="1:6" ht="15.6" x14ac:dyDescent="0.3">
      <c r="A901" s="270" t="s">
        <v>631</v>
      </c>
      <c r="B901" s="270" t="s">
        <v>676</v>
      </c>
      <c r="C901">
        <v>45</v>
      </c>
      <c r="D901">
        <f t="shared" ca="1" si="65"/>
        <v>1</v>
      </c>
      <c r="E901">
        <f t="shared" si="61"/>
        <v>7482</v>
      </c>
      <c r="F901" t="s">
        <v>727</v>
      </c>
    </row>
    <row r="902" spans="1:6" ht="15.6" x14ac:dyDescent="0.3">
      <c r="A902" s="270" t="s">
        <v>620</v>
      </c>
      <c r="B902" s="270" t="s">
        <v>683</v>
      </c>
      <c r="C902">
        <v>45</v>
      </c>
      <c r="D902">
        <f t="shared" ca="1" si="65"/>
        <v>1</v>
      </c>
      <c r="E902">
        <f t="shared" si="61"/>
        <v>7513</v>
      </c>
      <c r="F902" t="s">
        <v>727</v>
      </c>
    </row>
    <row r="903" spans="1:6" ht="15.6" x14ac:dyDescent="0.3">
      <c r="A903" s="270" t="s">
        <v>645</v>
      </c>
      <c r="B903" s="270" t="s">
        <v>669</v>
      </c>
      <c r="C903">
        <v>45</v>
      </c>
      <c r="D903">
        <f t="shared" ca="1" si="65"/>
        <v>1</v>
      </c>
      <c r="E903">
        <f t="shared" si="61"/>
        <v>7544</v>
      </c>
      <c r="F903" t="s">
        <v>727</v>
      </c>
    </row>
    <row r="904" spans="1:6" ht="15.6" x14ac:dyDescent="0.3">
      <c r="A904" s="270" t="s">
        <v>658</v>
      </c>
      <c r="B904" s="270" t="s">
        <v>691</v>
      </c>
      <c r="C904">
        <v>45</v>
      </c>
      <c r="D904">
        <f t="shared" ca="1" si="65"/>
        <v>1</v>
      </c>
      <c r="E904">
        <f t="shared" si="61"/>
        <v>7575</v>
      </c>
      <c r="F904" t="s">
        <v>727</v>
      </c>
    </row>
    <row r="905" spans="1:6" ht="15.6" x14ac:dyDescent="0.3">
      <c r="A905" s="270" t="s">
        <v>656</v>
      </c>
      <c r="B905" s="270" t="s">
        <v>700</v>
      </c>
      <c r="C905">
        <v>45</v>
      </c>
      <c r="D905">
        <f t="shared" ca="1" si="65"/>
        <v>0</v>
      </c>
      <c r="E905">
        <f t="shared" si="61"/>
        <v>7606</v>
      </c>
      <c r="F905" t="s">
        <v>727</v>
      </c>
    </row>
    <row r="906" spans="1:6" ht="15.6" x14ac:dyDescent="0.3">
      <c r="A906" s="270" t="s">
        <v>635</v>
      </c>
      <c r="B906" s="270" t="s">
        <v>708</v>
      </c>
      <c r="C906">
        <v>45</v>
      </c>
      <c r="D906">
        <f t="shared" ca="1" si="65"/>
        <v>1</v>
      </c>
      <c r="E906">
        <f t="shared" si="61"/>
        <v>7637</v>
      </c>
      <c r="F906" t="s">
        <v>727</v>
      </c>
    </row>
    <row r="907" spans="1:6" ht="15.6" x14ac:dyDescent="0.3">
      <c r="A907" s="270" t="s">
        <v>651</v>
      </c>
      <c r="B907" s="270" t="s">
        <v>705</v>
      </c>
      <c r="C907">
        <v>45</v>
      </c>
      <c r="D907">
        <f t="shared" ca="1" si="65"/>
        <v>1</v>
      </c>
      <c r="E907">
        <f t="shared" si="61"/>
        <v>7668</v>
      </c>
      <c r="F907" t="s">
        <v>727</v>
      </c>
    </row>
    <row r="908" spans="1:6" ht="15.6" x14ac:dyDescent="0.3">
      <c r="A908" s="270" t="s">
        <v>620</v>
      </c>
      <c r="B908" s="270" t="s">
        <v>685</v>
      </c>
      <c r="C908">
        <v>45</v>
      </c>
      <c r="D908">
        <f t="shared" ca="1" si="65"/>
        <v>1</v>
      </c>
      <c r="E908">
        <f t="shared" si="61"/>
        <v>7699</v>
      </c>
      <c r="F908" t="s">
        <v>727</v>
      </c>
    </row>
    <row r="909" spans="1:6" ht="15.6" x14ac:dyDescent="0.3">
      <c r="A909" s="270" t="s">
        <v>657</v>
      </c>
      <c r="B909" s="270" t="s">
        <v>709</v>
      </c>
      <c r="C909">
        <v>45</v>
      </c>
      <c r="D909">
        <f t="shared" ca="1" si="65"/>
        <v>0</v>
      </c>
      <c r="E909">
        <f t="shared" ref="E909:E972" si="66">E908+31</f>
        <v>7730</v>
      </c>
      <c r="F909" t="s">
        <v>727</v>
      </c>
    </row>
    <row r="910" spans="1:6" ht="15.6" x14ac:dyDescent="0.3">
      <c r="A910" s="270" t="s">
        <v>647</v>
      </c>
      <c r="B910" s="270" t="s">
        <v>696</v>
      </c>
      <c r="C910">
        <v>45</v>
      </c>
      <c r="D910">
        <f t="shared" ca="1" si="65"/>
        <v>1</v>
      </c>
      <c r="E910">
        <f t="shared" si="66"/>
        <v>7761</v>
      </c>
      <c r="F910" t="s">
        <v>727</v>
      </c>
    </row>
    <row r="911" spans="1:6" ht="15.6" x14ac:dyDescent="0.3">
      <c r="A911" s="270" t="s">
        <v>664</v>
      </c>
      <c r="B911" s="270" t="s">
        <v>712</v>
      </c>
      <c r="C911">
        <v>45</v>
      </c>
      <c r="D911">
        <f t="shared" ca="1" si="65"/>
        <v>1</v>
      </c>
      <c r="E911">
        <f t="shared" si="66"/>
        <v>7792</v>
      </c>
      <c r="F911" t="s">
        <v>727</v>
      </c>
    </row>
    <row r="912" spans="1:6" ht="15.6" x14ac:dyDescent="0.3">
      <c r="A912" s="270" t="s">
        <v>636</v>
      </c>
      <c r="B912" s="270" t="s">
        <v>693</v>
      </c>
      <c r="C912">
        <v>45</v>
      </c>
      <c r="D912">
        <f t="shared" ca="1" si="65"/>
        <v>1</v>
      </c>
      <c r="E912">
        <f t="shared" si="66"/>
        <v>7823</v>
      </c>
      <c r="F912" t="s">
        <v>727</v>
      </c>
    </row>
    <row r="913" spans="1:6" ht="15.6" x14ac:dyDescent="0.3">
      <c r="A913" s="270" t="s">
        <v>662</v>
      </c>
      <c r="B913" s="270" t="s">
        <v>667</v>
      </c>
      <c r="C913">
        <v>45</v>
      </c>
      <c r="D913">
        <f t="shared" ca="1" si="65"/>
        <v>0</v>
      </c>
      <c r="E913">
        <f t="shared" si="66"/>
        <v>7854</v>
      </c>
      <c r="F913" t="s">
        <v>727</v>
      </c>
    </row>
    <row r="914" spans="1:6" ht="15.6" x14ac:dyDescent="0.3">
      <c r="A914" s="270" t="s">
        <v>666</v>
      </c>
      <c r="B914" s="270" t="s">
        <v>704</v>
      </c>
      <c r="C914">
        <v>45</v>
      </c>
      <c r="D914">
        <f t="shared" ca="1" si="65"/>
        <v>0</v>
      </c>
      <c r="E914">
        <f t="shared" si="66"/>
        <v>7885</v>
      </c>
      <c r="F914" t="s">
        <v>727</v>
      </c>
    </row>
    <row r="915" spans="1:6" ht="15.6" x14ac:dyDescent="0.3">
      <c r="A915" s="270" t="s">
        <v>629</v>
      </c>
      <c r="B915" s="270" t="s">
        <v>696</v>
      </c>
      <c r="C915">
        <v>45</v>
      </c>
      <c r="D915">
        <f t="shared" ca="1" si="65"/>
        <v>1</v>
      </c>
      <c r="E915">
        <f t="shared" si="66"/>
        <v>7916</v>
      </c>
      <c r="F915" t="s">
        <v>727</v>
      </c>
    </row>
    <row r="916" spans="1:6" ht="15.6" x14ac:dyDescent="0.3">
      <c r="A916" s="270" t="s">
        <v>623</v>
      </c>
      <c r="B916" s="270" t="s">
        <v>711</v>
      </c>
      <c r="C916">
        <v>45</v>
      </c>
      <c r="D916">
        <f t="shared" ca="1" si="65"/>
        <v>1</v>
      </c>
      <c r="E916">
        <f t="shared" si="66"/>
        <v>7947</v>
      </c>
      <c r="F916" t="s">
        <v>727</v>
      </c>
    </row>
    <row r="917" spans="1:6" ht="15.6" x14ac:dyDescent="0.3">
      <c r="A917" s="270" t="s">
        <v>624</v>
      </c>
      <c r="B917" s="270" t="s">
        <v>668</v>
      </c>
      <c r="C917">
        <v>45</v>
      </c>
      <c r="D917">
        <f t="shared" ca="1" si="65"/>
        <v>0</v>
      </c>
      <c r="E917">
        <f t="shared" si="66"/>
        <v>7978</v>
      </c>
      <c r="F917" t="s">
        <v>727</v>
      </c>
    </row>
    <row r="918" spans="1:6" ht="15.6" x14ac:dyDescent="0.3">
      <c r="A918" s="270" t="s">
        <v>643</v>
      </c>
      <c r="B918" s="270" t="s">
        <v>692</v>
      </c>
      <c r="C918">
        <v>45</v>
      </c>
      <c r="D918">
        <f t="shared" ca="1" si="65"/>
        <v>1</v>
      </c>
      <c r="E918">
        <f t="shared" si="66"/>
        <v>8009</v>
      </c>
      <c r="F918" t="s">
        <v>727</v>
      </c>
    </row>
    <row r="919" spans="1:6" ht="15.6" x14ac:dyDescent="0.3">
      <c r="A919" s="270" t="s">
        <v>628</v>
      </c>
      <c r="B919" s="270" t="s">
        <v>673</v>
      </c>
      <c r="C919">
        <v>45</v>
      </c>
      <c r="D919">
        <f t="shared" ca="1" si="65"/>
        <v>0</v>
      </c>
      <c r="E919">
        <f t="shared" si="66"/>
        <v>8040</v>
      </c>
      <c r="F919" t="s">
        <v>727</v>
      </c>
    </row>
    <row r="920" spans="1:6" ht="15.6" x14ac:dyDescent="0.3">
      <c r="A920" s="270" t="s">
        <v>640</v>
      </c>
      <c r="B920" s="270" t="s">
        <v>709</v>
      </c>
      <c r="C920">
        <v>45</v>
      </c>
      <c r="D920">
        <f t="shared" ca="1" si="65"/>
        <v>0</v>
      </c>
      <c r="E920">
        <f t="shared" si="66"/>
        <v>8071</v>
      </c>
      <c r="F920" t="s">
        <v>727</v>
      </c>
    </row>
    <row r="921" spans="1:6" ht="15.6" x14ac:dyDescent="0.3">
      <c r="A921" s="270" t="s">
        <v>654</v>
      </c>
      <c r="B921" s="270" t="s">
        <v>685</v>
      </c>
      <c r="C921">
        <v>45</v>
      </c>
      <c r="D921">
        <f t="shared" ca="1" si="65"/>
        <v>0</v>
      </c>
      <c r="E921">
        <f t="shared" si="66"/>
        <v>8102</v>
      </c>
      <c r="F921" t="s">
        <v>727</v>
      </c>
    </row>
    <row r="922" spans="1:6" ht="15.6" x14ac:dyDescent="0.3">
      <c r="A922" s="270" t="s">
        <v>644</v>
      </c>
      <c r="B922" s="270" t="s">
        <v>710</v>
      </c>
      <c r="C922">
        <v>45</v>
      </c>
      <c r="D922">
        <f t="shared" ca="1" si="65"/>
        <v>0</v>
      </c>
      <c r="E922">
        <f t="shared" si="66"/>
        <v>8133</v>
      </c>
      <c r="F922" t="s">
        <v>727</v>
      </c>
    </row>
    <row r="923" spans="1:6" ht="15.6" x14ac:dyDescent="0.3">
      <c r="A923" s="270" t="s">
        <v>661</v>
      </c>
      <c r="B923" s="270" t="s">
        <v>680</v>
      </c>
      <c r="C923">
        <f t="shared" ref="C923:C944" si="67">C910-2</f>
        <v>43</v>
      </c>
      <c r="D923">
        <f t="shared" ca="1" si="65"/>
        <v>0</v>
      </c>
      <c r="E923">
        <f t="shared" si="66"/>
        <v>8164</v>
      </c>
      <c r="F923" t="s">
        <v>727</v>
      </c>
    </row>
    <row r="924" spans="1:6" ht="15.6" x14ac:dyDescent="0.3">
      <c r="A924" s="270" t="s">
        <v>638</v>
      </c>
      <c r="B924" s="270" t="s">
        <v>692</v>
      </c>
      <c r="C924">
        <f t="shared" si="67"/>
        <v>43</v>
      </c>
      <c r="D924">
        <f t="shared" ca="1" si="65"/>
        <v>1</v>
      </c>
      <c r="E924">
        <f t="shared" si="66"/>
        <v>8195</v>
      </c>
      <c r="F924" t="s">
        <v>727</v>
      </c>
    </row>
    <row r="925" spans="1:6" ht="15.6" x14ac:dyDescent="0.3">
      <c r="A925" s="270" t="s">
        <v>663</v>
      </c>
      <c r="B925" s="270" t="s">
        <v>690</v>
      </c>
      <c r="C925">
        <f t="shared" si="67"/>
        <v>43</v>
      </c>
      <c r="D925">
        <f t="shared" ca="1" si="65"/>
        <v>0</v>
      </c>
      <c r="E925">
        <f t="shared" si="66"/>
        <v>8226</v>
      </c>
      <c r="F925" t="s">
        <v>727</v>
      </c>
    </row>
    <row r="926" spans="1:6" ht="15.6" x14ac:dyDescent="0.3">
      <c r="A926" s="270" t="s">
        <v>638</v>
      </c>
      <c r="B926" s="270" t="s">
        <v>669</v>
      </c>
      <c r="C926">
        <f t="shared" si="67"/>
        <v>43</v>
      </c>
      <c r="D926">
        <f t="shared" ca="1" si="65"/>
        <v>1</v>
      </c>
      <c r="E926">
        <f t="shared" si="66"/>
        <v>8257</v>
      </c>
      <c r="F926" t="s">
        <v>728</v>
      </c>
    </row>
    <row r="927" spans="1:6" ht="15.6" x14ac:dyDescent="0.3">
      <c r="A927" s="270" t="s">
        <v>627</v>
      </c>
      <c r="B927" s="270" t="s">
        <v>672</v>
      </c>
      <c r="C927">
        <f t="shared" si="67"/>
        <v>43</v>
      </c>
      <c r="D927">
        <f t="shared" ca="1" si="65"/>
        <v>1</v>
      </c>
      <c r="E927">
        <f t="shared" si="66"/>
        <v>8288</v>
      </c>
      <c r="F927" t="s">
        <v>728</v>
      </c>
    </row>
    <row r="928" spans="1:6" ht="15.6" x14ac:dyDescent="0.3">
      <c r="A928" s="270" t="s">
        <v>661</v>
      </c>
      <c r="B928" s="270" t="s">
        <v>676</v>
      </c>
      <c r="C928">
        <f t="shared" si="67"/>
        <v>43</v>
      </c>
      <c r="D928">
        <f t="shared" ca="1" si="65"/>
        <v>0</v>
      </c>
      <c r="E928">
        <f t="shared" si="66"/>
        <v>8319</v>
      </c>
      <c r="F928" t="s">
        <v>728</v>
      </c>
    </row>
    <row r="929" spans="1:6" ht="15.6" x14ac:dyDescent="0.3">
      <c r="A929" s="270" t="s">
        <v>644</v>
      </c>
      <c r="B929" s="270" t="s">
        <v>694</v>
      </c>
      <c r="C929">
        <f t="shared" si="67"/>
        <v>43</v>
      </c>
      <c r="D929">
        <f t="shared" ca="1" si="65"/>
        <v>1</v>
      </c>
      <c r="E929">
        <f t="shared" si="66"/>
        <v>8350</v>
      </c>
      <c r="F929" t="s">
        <v>728</v>
      </c>
    </row>
    <row r="930" spans="1:6" ht="15.6" x14ac:dyDescent="0.3">
      <c r="A930" s="270" t="s">
        <v>617</v>
      </c>
      <c r="B930" s="270" t="s">
        <v>676</v>
      </c>
      <c r="C930">
        <f t="shared" si="67"/>
        <v>43</v>
      </c>
      <c r="D930">
        <f t="shared" ca="1" si="65"/>
        <v>1</v>
      </c>
      <c r="E930">
        <f t="shared" si="66"/>
        <v>8381</v>
      </c>
      <c r="F930" t="s">
        <v>728</v>
      </c>
    </row>
    <row r="931" spans="1:6" ht="15.6" x14ac:dyDescent="0.3">
      <c r="A931" s="270" t="s">
        <v>660</v>
      </c>
      <c r="B931" s="270" t="s">
        <v>699</v>
      </c>
      <c r="C931">
        <f t="shared" si="67"/>
        <v>43</v>
      </c>
      <c r="D931">
        <f t="shared" ca="1" si="65"/>
        <v>0</v>
      </c>
      <c r="E931">
        <f t="shared" si="66"/>
        <v>8412</v>
      </c>
      <c r="F931" t="s">
        <v>728</v>
      </c>
    </row>
    <row r="932" spans="1:6" ht="15.6" x14ac:dyDescent="0.3">
      <c r="A932" s="270" t="s">
        <v>625</v>
      </c>
      <c r="B932" s="270" t="s">
        <v>698</v>
      </c>
      <c r="C932">
        <f t="shared" si="67"/>
        <v>43</v>
      </c>
      <c r="D932">
        <f t="shared" ca="1" si="65"/>
        <v>0</v>
      </c>
      <c r="E932">
        <f t="shared" si="66"/>
        <v>8443</v>
      </c>
      <c r="F932" t="s">
        <v>728</v>
      </c>
    </row>
    <row r="933" spans="1:6" ht="15.6" x14ac:dyDescent="0.3">
      <c r="A933" s="270" t="s">
        <v>646</v>
      </c>
      <c r="B933" s="270" t="s">
        <v>699</v>
      </c>
      <c r="C933">
        <f t="shared" si="67"/>
        <v>43</v>
      </c>
      <c r="D933">
        <f t="shared" ca="1" si="65"/>
        <v>1</v>
      </c>
      <c r="E933">
        <f t="shared" si="66"/>
        <v>8474</v>
      </c>
      <c r="F933" t="s">
        <v>728</v>
      </c>
    </row>
    <row r="934" spans="1:6" ht="15.6" x14ac:dyDescent="0.3">
      <c r="A934" s="270" t="s">
        <v>633</v>
      </c>
      <c r="B934" s="270" t="s">
        <v>678</v>
      </c>
      <c r="C934">
        <f t="shared" si="67"/>
        <v>43</v>
      </c>
      <c r="D934">
        <f t="shared" ca="1" si="65"/>
        <v>0</v>
      </c>
      <c r="E934">
        <f t="shared" si="66"/>
        <v>8505</v>
      </c>
      <c r="F934" t="s">
        <v>728</v>
      </c>
    </row>
    <row r="935" spans="1:6" ht="15.6" x14ac:dyDescent="0.3">
      <c r="A935" s="270" t="s">
        <v>664</v>
      </c>
      <c r="B935" s="270" t="s">
        <v>688</v>
      </c>
      <c r="C935">
        <f t="shared" si="67"/>
        <v>43</v>
      </c>
      <c r="D935">
        <f t="shared" ca="1" si="65"/>
        <v>0</v>
      </c>
      <c r="E935">
        <f t="shared" si="66"/>
        <v>8536</v>
      </c>
      <c r="F935" t="s">
        <v>728</v>
      </c>
    </row>
    <row r="936" spans="1:6" ht="15.6" x14ac:dyDescent="0.3">
      <c r="A936" s="270" t="s">
        <v>643</v>
      </c>
      <c r="B936" s="270" t="s">
        <v>682</v>
      </c>
      <c r="C936">
        <f t="shared" si="67"/>
        <v>41</v>
      </c>
      <c r="D936">
        <f t="shared" ca="1" si="65"/>
        <v>1</v>
      </c>
      <c r="E936">
        <f t="shared" si="66"/>
        <v>8567</v>
      </c>
      <c r="F936" t="s">
        <v>728</v>
      </c>
    </row>
    <row r="937" spans="1:6" ht="15.6" x14ac:dyDescent="0.3">
      <c r="A937" s="270" t="s">
        <v>620</v>
      </c>
      <c r="B937" s="270" t="s">
        <v>693</v>
      </c>
      <c r="C937">
        <f t="shared" si="67"/>
        <v>41</v>
      </c>
      <c r="D937">
        <f t="shared" ca="1" si="65"/>
        <v>1</v>
      </c>
      <c r="E937">
        <f t="shared" si="66"/>
        <v>8598</v>
      </c>
      <c r="F937" t="s">
        <v>728</v>
      </c>
    </row>
    <row r="938" spans="1:6" ht="15.6" x14ac:dyDescent="0.3">
      <c r="A938" s="270" t="s">
        <v>628</v>
      </c>
      <c r="B938" s="270" t="s">
        <v>684</v>
      </c>
      <c r="C938">
        <f t="shared" si="67"/>
        <v>41</v>
      </c>
      <c r="D938">
        <f t="shared" ca="1" si="65"/>
        <v>1</v>
      </c>
      <c r="E938">
        <f t="shared" si="66"/>
        <v>8629</v>
      </c>
      <c r="F938" t="s">
        <v>728</v>
      </c>
    </row>
    <row r="939" spans="1:6" ht="15.6" x14ac:dyDescent="0.3">
      <c r="A939" s="270" t="s">
        <v>633</v>
      </c>
      <c r="B939" s="270" t="s">
        <v>568</v>
      </c>
      <c r="C939">
        <f t="shared" si="67"/>
        <v>41</v>
      </c>
      <c r="D939">
        <f t="shared" ca="1" si="65"/>
        <v>0</v>
      </c>
      <c r="E939">
        <f t="shared" si="66"/>
        <v>8660</v>
      </c>
      <c r="F939" t="s">
        <v>728</v>
      </c>
    </row>
    <row r="940" spans="1:6" ht="15.6" x14ac:dyDescent="0.3">
      <c r="A940" s="270" t="s">
        <v>623</v>
      </c>
      <c r="B940" s="270" t="s">
        <v>667</v>
      </c>
      <c r="C940">
        <f t="shared" si="67"/>
        <v>41</v>
      </c>
      <c r="D940">
        <f t="shared" ca="1" si="65"/>
        <v>0</v>
      </c>
      <c r="E940">
        <f t="shared" si="66"/>
        <v>8691</v>
      </c>
      <c r="F940" t="s">
        <v>728</v>
      </c>
    </row>
    <row r="941" spans="1:6" ht="15.6" x14ac:dyDescent="0.3">
      <c r="A941" s="270" t="s">
        <v>653</v>
      </c>
      <c r="B941" s="270" t="s">
        <v>687</v>
      </c>
      <c r="C941">
        <f t="shared" si="67"/>
        <v>41</v>
      </c>
      <c r="D941">
        <f t="shared" ca="1" si="65"/>
        <v>0</v>
      </c>
      <c r="E941">
        <f t="shared" si="66"/>
        <v>8722</v>
      </c>
      <c r="F941" t="s">
        <v>728</v>
      </c>
    </row>
    <row r="942" spans="1:6" ht="15.6" x14ac:dyDescent="0.3">
      <c r="A942" s="270" t="s">
        <v>634</v>
      </c>
      <c r="B942" s="270" t="s">
        <v>686</v>
      </c>
      <c r="C942">
        <f t="shared" si="67"/>
        <v>41</v>
      </c>
      <c r="D942">
        <f t="shared" ca="1" si="65"/>
        <v>0</v>
      </c>
      <c r="E942">
        <f t="shared" si="66"/>
        <v>8753</v>
      </c>
      <c r="F942" t="s">
        <v>728</v>
      </c>
    </row>
    <row r="943" spans="1:6" ht="15.6" x14ac:dyDescent="0.3">
      <c r="A943" s="270" t="s">
        <v>649</v>
      </c>
      <c r="B943" s="270" t="s">
        <v>702</v>
      </c>
      <c r="C943">
        <f t="shared" si="67"/>
        <v>41</v>
      </c>
      <c r="D943">
        <f t="shared" ca="1" si="65"/>
        <v>1</v>
      </c>
      <c r="E943">
        <f t="shared" si="66"/>
        <v>8784</v>
      </c>
      <c r="F943" t="s">
        <v>728</v>
      </c>
    </row>
    <row r="944" spans="1:6" ht="15.6" x14ac:dyDescent="0.3">
      <c r="A944" s="270" t="s">
        <v>642</v>
      </c>
      <c r="B944" s="270" t="s">
        <v>701</v>
      </c>
      <c r="C944">
        <f t="shared" si="67"/>
        <v>41</v>
      </c>
      <c r="D944">
        <f t="shared" ca="1" si="65"/>
        <v>0</v>
      </c>
      <c r="E944">
        <f t="shared" si="66"/>
        <v>8815</v>
      </c>
      <c r="F944" t="s">
        <v>728</v>
      </c>
    </row>
    <row r="945" spans="1:6" ht="15.6" x14ac:dyDescent="0.3">
      <c r="A945" s="270" t="s">
        <v>649</v>
      </c>
      <c r="B945" s="270" t="s">
        <v>688</v>
      </c>
      <c r="C945">
        <f>37+2</f>
        <v>39</v>
      </c>
      <c r="D945">
        <f t="shared" ca="1" si="65"/>
        <v>0</v>
      </c>
      <c r="E945">
        <f t="shared" si="66"/>
        <v>8846</v>
      </c>
      <c r="F945" t="s">
        <v>728</v>
      </c>
    </row>
    <row r="946" spans="1:6" ht="15.6" x14ac:dyDescent="0.3">
      <c r="A946" s="270" t="s">
        <v>618</v>
      </c>
      <c r="B946" s="270" t="s">
        <v>678</v>
      </c>
      <c r="C946">
        <f t="shared" ref="C946:C962" si="68">37+2</f>
        <v>39</v>
      </c>
      <c r="D946">
        <f t="shared" ca="1" si="65"/>
        <v>1</v>
      </c>
      <c r="E946">
        <f t="shared" si="66"/>
        <v>8877</v>
      </c>
      <c r="F946" t="s">
        <v>728</v>
      </c>
    </row>
    <row r="947" spans="1:6" ht="15.6" x14ac:dyDescent="0.3">
      <c r="A947" s="270" t="s">
        <v>620</v>
      </c>
      <c r="B947" s="270" t="s">
        <v>689</v>
      </c>
      <c r="C947">
        <f t="shared" si="68"/>
        <v>39</v>
      </c>
      <c r="D947">
        <f t="shared" ca="1" si="65"/>
        <v>1</v>
      </c>
      <c r="E947">
        <f t="shared" si="66"/>
        <v>8908</v>
      </c>
      <c r="F947" t="s">
        <v>728</v>
      </c>
    </row>
    <row r="948" spans="1:6" ht="15.6" x14ac:dyDescent="0.3">
      <c r="A948" s="270" t="s">
        <v>638</v>
      </c>
      <c r="B948" s="270" t="s">
        <v>674</v>
      </c>
      <c r="C948">
        <f t="shared" si="68"/>
        <v>39</v>
      </c>
      <c r="D948">
        <f t="shared" ca="1" si="65"/>
        <v>1</v>
      </c>
      <c r="E948">
        <f t="shared" si="66"/>
        <v>8939</v>
      </c>
      <c r="F948" t="s">
        <v>728</v>
      </c>
    </row>
    <row r="949" spans="1:6" ht="15.6" x14ac:dyDescent="0.3">
      <c r="A949" s="270" t="s">
        <v>626</v>
      </c>
      <c r="B949" s="270" t="s">
        <v>676</v>
      </c>
      <c r="C949">
        <f t="shared" si="68"/>
        <v>39</v>
      </c>
      <c r="D949">
        <f t="shared" ca="1" si="65"/>
        <v>0</v>
      </c>
      <c r="E949">
        <f t="shared" si="66"/>
        <v>8970</v>
      </c>
      <c r="F949" t="s">
        <v>728</v>
      </c>
    </row>
    <row r="950" spans="1:6" ht="15.6" x14ac:dyDescent="0.3">
      <c r="A950" s="270" t="s">
        <v>660</v>
      </c>
      <c r="B950" s="270" t="s">
        <v>699</v>
      </c>
      <c r="C950">
        <f t="shared" si="68"/>
        <v>39</v>
      </c>
      <c r="D950">
        <f t="shared" ca="1" si="65"/>
        <v>0</v>
      </c>
      <c r="E950">
        <f t="shared" si="66"/>
        <v>9001</v>
      </c>
      <c r="F950" t="s">
        <v>728</v>
      </c>
    </row>
    <row r="951" spans="1:6" ht="15.6" x14ac:dyDescent="0.3">
      <c r="A951" s="270" t="s">
        <v>630</v>
      </c>
      <c r="B951" s="270" t="s">
        <v>671</v>
      </c>
      <c r="C951">
        <f t="shared" si="68"/>
        <v>39</v>
      </c>
      <c r="D951">
        <f t="shared" ca="1" si="65"/>
        <v>0</v>
      </c>
      <c r="E951">
        <f t="shared" si="66"/>
        <v>9032</v>
      </c>
      <c r="F951" t="s">
        <v>728</v>
      </c>
    </row>
    <row r="952" spans="1:6" ht="15.6" x14ac:dyDescent="0.3">
      <c r="A952" s="270" t="s">
        <v>628</v>
      </c>
      <c r="B952" s="270" t="s">
        <v>697</v>
      </c>
      <c r="C952">
        <f t="shared" si="68"/>
        <v>39</v>
      </c>
      <c r="D952">
        <f t="shared" ca="1" si="65"/>
        <v>0</v>
      </c>
      <c r="E952">
        <f t="shared" si="66"/>
        <v>9063</v>
      </c>
      <c r="F952" t="s">
        <v>728</v>
      </c>
    </row>
    <row r="953" spans="1:6" ht="15.6" x14ac:dyDescent="0.3">
      <c r="A953" s="270" t="s">
        <v>630</v>
      </c>
      <c r="B953" s="270" t="s">
        <v>685</v>
      </c>
      <c r="C953">
        <f t="shared" si="68"/>
        <v>39</v>
      </c>
      <c r="D953">
        <f t="shared" ca="1" si="65"/>
        <v>1</v>
      </c>
      <c r="E953">
        <f t="shared" si="66"/>
        <v>9094</v>
      </c>
      <c r="F953" t="s">
        <v>728</v>
      </c>
    </row>
    <row r="954" spans="1:6" ht="15.6" x14ac:dyDescent="0.3">
      <c r="A954" s="270" t="s">
        <v>632</v>
      </c>
      <c r="B954" s="270" t="s">
        <v>699</v>
      </c>
      <c r="C954">
        <f t="shared" si="68"/>
        <v>39</v>
      </c>
      <c r="D954">
        <f t="shared" ca="1" si="65"/>
        <v>0</v>
      </c>
      <c r="E954">
        <f t="shared" si="66"/>
        <v>9125</v>
      </c>
      <c r="F954" t="s">
        <v>728</v>
      </c>
    </row>
    <row r="955" spans="1:6" ht="15.6" x14ac:dyDescent="0.3">
      <c r="A955" s="270" t="s">
        <v>655</v>
      </c>
      <c r="B955" s="270" t="s">
        <v>671</v>
      </c>
      <c r="C955">
        <f t="shared" si="68"/>
        <v>39</v>
      </c>
      <c r="D955">
        <f t="shared" ca="1" si="65"/>
        <v>0</v>
      </c>
      <c r="E955">
        <f t="shared" si="66"/>
        <v>9156</v>
      </c>
      <c r="F955" t="s">
        <v>728</v>
      </c>
    </row>
    <row r="956" spans="1:6" ht="15.6" x14ac:dyDescent="0.3">
      <c r="A956" s="270" t="s">
        <v>646</v>
      </c>
      <c r="B956" s="270" t="s">
        <v>692</v>
      </c>
      <c r="C956">
        <f t="shared" si="68"/>
        <v>39</v>
      </c>
      <c r="D956">
        <f t="shared" ca="1" si="65"/>
        <v>0</v>
      </c>
      <c r="E956">
        <f t="shared" si="66"/>
        <v>9187</v>
      </c>
      <c r="F956" t="s">
        <v>728</v>
      </c>
    </row>
    <row r="957" spans="1:6" ht="15.6" x14ac:dyDescent="0.3">
      <c r="A957" s="270" t="s">
        <v>651</v>
      </c>
      <c r="B957" s="270" t="s">
        <v>694</v>
      </c>
      <c r="C957">
        <f t="shared" si="68"/>
        <v>39</v>
      </c>
      <c r="D957">
        <f t="shared" ca="1" si="65"/>
        <v>1</v>
      </c>
      <c r="E957">
        <f t="shared" si="66"/>
        <v>9218</v>
      </c>
      <c r="F957" t="s">
        <v>728</v>
      </c>
    </row>
    <row r="958" spans="1:6" ht="15.6" x14ac:dyDescent="0.3">
      <c r="A958" s="270" t="s">
        <v>662</v>
      </c>
      <c r="B958" s="270" t="s">
        <v>700</v>
      </c>
      <c r="C958">
        <f t="shared" si="68"/>
        <v>39</v>
      </c>
      <c r="D958">
        <f t="shared" ca="1" si="65"/>
        <v>0</v>
      </c>
      <c r="E958">
        <f t="shared" si="66"/>
        <v>9249</v>
      </c>
      <c r="F958" t="s">
        <v>728</v>
      </c>
    </row>
    <row r="959" spans="1:6" ht="15.6" x14ac:dyDescent="0.3">
      <c r="A959" s="270" t="s">
        <v>663</v>
      </c>
      <c r="B959" s="270" t="s">
        <v>710</v>
      </c>
      <c r="C959">
        <f t="shared" si="68"/>
        <v>39</v>
      </c>
      <c r="D959">
        <f t="shared" ca="1" si="65"/>
        <v>0</v>
      </c>
      <c r="E959">
        <f t="shared" si="66"/>
        <v>9280</v>
      </c>
      <c r="F959" t="s">
        <v>728</v>
      </c>
    </row>
    <row r="960" spans="1:6" ht="15.6" x14ac:dyDescent="0.3">
      <c r="A960" s="270" t="s">
        <v>632</v>
      </c>
      <c r="B960" s="270" t="s">
        <v>693</v>
      </c>
      <c r="C960">
        <f t="shared" si="68"/>
        <v>39</v>
      </c>
      <c r="D960">
        <f t="shared" ca="1" si="65"/>
        <v>1</v>
      </c>
      <c r="E960">
        <f t="shared" si="66"/>
        <v>9311</v>
      </c>
      <c r="F960" t="s">
        <v>728</v>
      </c>
    </row>
    <row r="961" spans="1:6" ht="15.6" x14ac:dyDescent="0.3">
      <c r="A961" s="270" t="s">
        <v>665</v>
      </c>
      <c r="B961" s="270" t="s">
        <v>713</v>
      </c>
      <c r="C961">
        <f t="shared" si="68"/>
        <v>39</v>
      </c>
      <c r="D961">
        <f t="shared" ca="1" si="65"/>
        <v>0</v>
      </c>
      <c r="E961">
        <f t="shared" si="66"/>
        <v>9342</v>
      </c>
      <c r="F961" t="s">
        <v>728</v>
      </c>
    </row>
    <row r="962" spans="1:6" ht="15.6" x14ac:dyDescent="0.3">
      <c r="A962" s="270" t="s">
        <v>642</v>
      </c>
      <c r="B962" s="270" t="s">
        <v>698</v>
      </c>
      <c r="C962">
        <f t="shared" si="68"/>
        <v>39</v>
      </c>
      <c r="D962">
        <f t="shared" ca="1" si="65"/>
        <v>1</v>
      </c>
      <c r="E962">
        <f t="shared" si="66"/>
        <v>9373</v>
      </c>
      <c r="F962" t="s">
        <v>728</v>
      </c>
    </row>
    <row r="963" spans="1:6" ht="15.6" x14ac:dyDescent="0.3">
      <c r="A963" s="270" t="s">
        <v>636</v>
      </c>
      <c r="B963" s="270" t="s">
        <v>693</v>
      </c>
      <c r="C963">
        <f>22+3</f>
        <v>25</v>
      </c>
      <c r="D963">
        <f t="shared" ref="D963:D1020" ca="1" si="69">RANDBETWEEN(0,1)</f>
        <v>0</v>
      </c>
      <c r="E963">
        <f t="shared" si="66"/>
        <v>9404</v>
      </c>
      <c r="F963" t="s">
        <v>728</v>
      </c>
    </row>
    <row r="964" spans="1:6" ht="15.6" x14ac:dyDescent="0.3">
      <c r="A964" s="270" t="s">
        <v>640</v>
      </c>
      <c r="B964" s="270" t="s">
        <v>705</v>
      </c>
      <c r="C964">
        <f>C963+5</f>
        <v>30</v>
      </c>
      <c r="D964">
        <f t="shared" ca="1" si="69"/>
        <v>1</v>
      </c>
      <c r="E964">
        <f t="shared" si="66"/>
        <v>9435</v>
      </c>
      <c r="F964" t="s">
        <v>728</v>
      </c>
    </row>
    <row r="965" spans="1:6" ht="15.6" x14ac:dyDescent="0.3">
      <c r="A965" s="270" t="s">
        <v>636</v>
      </c>
      <c r="B965" s="270" t="s">
        <v>708</v>
      </c>
      <c r="C965">
        <f t="shared" ref="C965:C972" si="70">C964+5</f>
        <v>35</v>
      </c>
      <c r="D965">
        <f t="shared" ca="1" si="69"/>
        <v>1</v>
      </c>
      <c r="E965">
        <f t="shared" si="66"/>
        <v>9466</v>
      </c>
      <c r="F965" t="s">
        <v>728</v>
      </c>
    </row>
    <row r="966" spans="1:6" ht="15.6" x14ac:dyDescent="0.3">
      <c r="A966" s="270" t="s">
        <v>663</v>
      </c>
      <c r="B966" s="270" t="s">
        <v>711</v>
      </c>
      <c r="C966">
        <f t="shared" si="70"/>
        <v>40</v>
      </c>
      <c r="D966">
        <f t="shared" ca="1" si="69"/>
        <v>1</v>
      </c>
      <c r="E966">
        <f t="shared" si="66"/>
        <v>9497</v>
      </c>
      <c r="F966" t="s">
        <v>728</v>
      </c>
    </row>
    <row r="967" spans="1:6" ht="15.6" x14ac:dyDescent="0.3">
      <c r="A967" s="270" t="s">
        <v>651</v>
      </c>
      <c r="B967" s="270" t="s">
        <v>705</v>
      </c>
      <c r="C967">
        <f t="shared" si="70"/>
        <v>45</v>
      </c>
      <c r="D967">
        <f t="shared" ca="1" si="69"/>
        <v>1</v>
      </c>
      <c r="E967">
        <f t="shared" si="66"/>
        <v>9528</v>
      </c>
      <c r="F967" t="s">
        <v>728</v>
      </c>
    </row>
    <row r="968" spans="1:6" ht="15.6" x14ac:dyDescent="0.3">
      <c r="A968" s="270" t="s">
        <v>619</v>
      </c>
      <c r="B968" s="270" t="s">
        <v>690</v>
      </c>
      <c r="C968">
        <f t="shared" si="70"/>
        <v>50</v>
      </c>
      <c r="D968">
        <f t="shared" ca="1" si="69"/>
        <v>0</v>
      </c>
      <c r="E968">
        <f t="shared" si="66"/>
        <v>9559</v>
      </c>
      <c r="F968" t="s">
        <v>728</v>
      </c>
    </row>
    <row r="969" spans="1:6" ht="15.6" x14ac:dyDescent="0.3">
      <c r="A969" s="270" t="s">
        <v>650</v>
      </c>
      <c r="B969" s="270" t="s">
        <v>714</v>
      </c>
      <c r="C969">
        <f t="shared" si="70"/>
        <v>55</v>
      </c>
      <c r="D969">
        <f t="shared" ca="1" si="69"/>
        <v>1</v>
      </c>
      <c r="E969">
        <f t="shared" si="66"/>
        <v>9590</v>
      </c>
      <c r="F969" t="s">
        <v>728</v>
      </c>
    </row>
    <row r="970" spans="1:6" ht="15.6" x14ac:dyDescent="0.3">
      <c r="A970" s="270" t="s">
        <v>620</v>
      </c>
      <c r="B970" s="270" t="s">
        <v>715</v>
      </c>
      <c r="C970">
        <f t="shared" si="70"/>
        <v>60</v>
      </c>
      <c r="D970">
        <f t="shared" ca="1" si="69"/>
        <v>1</v>
      </c>
      <c r="E970">
        <f t="shared" si="66"/>
        <v>9621</v>
      </c>
      <c r="F970" t="s">
        <v>728</v>
      </c>
    </row>
    <row r="971" spans="1:6" ht="15.6" x14ac:dyDescent="0.3">
      <c r="A971" s="270" t="s">
        <v>621</v>
      </c>
      <c r="B971" s="270" t="s">
        <v>671</v>
      </c>
      <c r="C971">
        <f t="shared" si="70"/>
        <v>65</v>
      </c>
      <c r="D971">
        <f t="shared" ca="1" si="69"/>
        <v>1</v>
      </c>
      <c r="E971">
        <f t="shared" si="66"/>
        <v>9652</v>
      </c>
      <c r="F971" t="s">
        <v>728</v>
      </c>
    </row>
    <row r="972" spans="1:6" ht="15.6" x14ac:dyDescent="0.3">
      <c r="A972" s="270" t="s">
        <v>623</v>
      </c>
      <c r="B972" s="270" t="s">
        <v>682</v>
      </c>
      <c r="C972">
        <f t="shared" si="70"/>
        <v>70</v>
      </c>
      <c r="D972">
        <f t="shared" ca="1" si="69"/>
        <v>1</v>
      </c>
      <c r="E972">
        <f t="shared" si="66"/>
        <v>9683</v>
      </c>
      <c r="F972" t="s">
        <v>728</v>
      </c>
    </row>
    <row r="973" spans="1:6" ht="15.6" x14ac:dyDescent="0.3">
      <c r="A973" s="270" t="s">
        <v>653</v>
      </c>
      <c r="B973" s="270" t="s">
        <v>707</v>
      </c>
      <c r="C973">
        <f>C802+4</f>
        <v>85</v>
      </c>
      <c r="D973">
        <f t="shared" ca="1" si="69"/>
        <v>0</v>
      </c>
      <c r="E973">
        <f t="shared" ref="E973:E1018" si="71">E972+31</f>
        <v>9714</v>
      </c>
      <c r="F973" t="s">
        <v>729</v>
      </c>
    </row>
    <row r="974" spans="1:6" ht="15.6" x14ac:dyDescent="0.3">
      <c r="A974" s="270" t="s">
        <v>662</v>
      </c>
      <c r="B974" s="270" t="s">
        <v>671</v>
      </c>
      <c r="C974">
        <f>C973-4</f>
        <v>81</v>
      </c>
      <c r="D974">
        <f t="shared" ca="1" si="69"/>
        <v>0</v>
      </c>
      <c r="E974">
        <f t="shared" si="71"/>
        <v>9745</v>
      </c>
      <c r="F974" t="s">
        <v>729</v>
      </c>
    </row>
    <row r="975" spans="1:6" ht="15.6" x14ac:dyDescent="0.3">
      <c r="A975" s="270" t="s">
        <v>663</v>
      </c>
      <c r="B975" s="270" t="s">
        <v>714</v>
      </c>
      <c r="C975">
        <f t="shared" ref="C975:C985" si="72">C974-4</f>
        <v>77</v>
      </c>
      <c r="D975">
        <f t="shared" ca="1" si="69"/>
        <v>1</v>
      </c>
      <c r="E975">
        <f t="shared" si="71"/>
        <v>9776</v>
      </c>
      <c r="F975" t="s">
        <v>729</v>
      </c>
    </row>
    <row r="976" spans="1:6" ht="15.6" x14ac:dyDescent="0.3">
      <c r="A976" s="270" t="s">
        <v>621</v>
      </c>
      <c r="B976" s="270" t="s">
        <v>685</v>
      </c>
      <c r="C976">
        <f t="shared" si="72"/>
        <v>73</v>
      </c>
      <c r="D976">
        <f t="shared" ca="1" si="69"/>
        <v>1</v>
      </c>
      <c r="E976">
        <f t="shared" si="71"/>
        <v>9807</v>
      </c>
      <c r="F976" t="s">
        <v>729</v>
      </c>
    </row>
    <row r="977" spans="1:6" ht="15.6" x14ac:dyDescent="0.3">
      <c r="A977" s="270" t="s">
        <v>640</v>
      </c>
      <c r="B977" s="270" t="s">
        <v>687</v>
      </c>
      <c r="C977">
        <f t="shared" si="72"/>
        <v>69</v>
      </c>
      <c r="D977">
        <f t="shared" ca="1" si="69"/>
        <v>0</v>
      </c>
      <c r="E977">
        <f t="shared" si="71"/>
        <v>9838</v>
      </c>
      <c r="F977" t="s">
        <v>729</v>
      </c>
    </row>
    <row r="978" spans="1:6" ht="15.6" x14ac:dyDescent="0.3">
      <c r="A978" s="270" t="s">
        <v>618</v>
      </c>
      <c r="B978" s="270" t="s">
        <v>701</v>
      </c>
      <c r="C978">
        <f t="shared" si="72"/>
        <v>65</v>
      </c>
      <c r="D978">
        <f t="shared" ca="1" si="69"/>
        <v>0</v>
      </c>
      <c r="E978">
        <f t="shared" si="71"/>
        <v>9869</v>
      </c>
      <c r="F978" t="s">
        <v>729</v>
      </c>
    </row>
    <row r="979" spans="1:6" ht="15.6" x14ac:dyDescent="0.3">
      <c r="A979" s="270" t="s">
        <v>632</v>
      </c>
      <c r="B979" s="270" t="s">
        <v>712</v>
      </c>
      <c r="C979">
        <f t="shared" si="72"/>
        <v>61</v>
      </c>
      <c r="D979">
        <f t="shared" ca="1" si="69"/>
        <v>0</v>
      </c>
      <c r="E979">
        <f t="shared" si="71"/>
        <v>9900</v>
      </c>
      <c r="F979" t="s">
        <v>729</v>
      </c>
    </row>
    <row r="980" spans="1:6" ht="15.6" x14ac:dyDescent="0.3">
      <c r="A980" s="270" t="s">
        <v>628</v>
      </c>
      <c r="B980" s="270" t="s">
        <v>701</v>
      </c>
      <c r="C980">
        <f t="shared" si="72"/>
        <v>57</v>
      </c>
      <c r="D980">
        <f t="shared" ca="1" si="69"/>
        <v>1</v>
      </c>
      <c r="E980">
        <f t="shared" si="71"/>
        <v>9931</v>
      </c>
      <c r="F980" t="s">
        <v>729</v>
      </c>
    </row>
    <row r="981" spans="1:6" ht="15.6" x14ac:dyDescent="0.3">
      <c r="A981" s="270" t="s">
        <v>634</v>
      </c>
      <c r="B981" s="270" t="s">
        <v>674</v>
      </c>
      <c r="C981">
        <f t="shared" si="72"/>
        <v>53</v>
      </c>
      <c r="D981">
        <f t="shared" ca="1" si="69"/>
        <v>0</v>
      </c>
      <c r="E981">
        <f t="shared" si="71"/>
        <v>9962</v>
      </c>
      <c r="F981" t="s">
        <v>729</v>
      </c>
    </row>
    <row r="982" spans="1:6" ht="15.6" x14ac:dyDescent="0.3">
      <c r="A982" s="270" t="s">
        <v>639</v>
      </c>
      <c r="B982" s="270" t="s">
        <v>714</v>
      </c>
      <c r="C982">
        <f t="shared" si="72"/>
        <v>49</v>
      </c>
      <c r="D982">
        <f t="shared" ca="1" si="69"/>
        <v>0</v>
      </c>
      <c r="E982">
        <f t="shared" si="71"/>
        <v>9993</v>
      </c>
      <c r="F982" t="s">
        <v>729</v>
      </c>
    </row>
    <row r="983" spans="1:6" ht="15.6" x14ac:dyDescent="0.3">
      <c r="A983" s="270" t="s">
        <v>662</v>
      </c>
      <c r="B983" s="270" t="s">
        <v>673</v>
      </c>
      <c r="C983">
        <f t="shared" si="72"/>
        <v>45</v>
      </c>
      <c r="D983">
        <f t="shared" ca="1" si="69"/>
        <v>0</v>
      </c>
      <c r="E983">
        <f t="shared" si="71"/>
        <v>10024</v>
      </c>
      <c r="F983" t="s">
        <v>729</v>
      </c>
    </row>
    <row r="984" spans="1:6" ht="15.6" x14ac:dyDescent="0.3">
      <c r="A984" s="270" t="s">
        <v>662</v>
      </c>
      <c r="B984" s="270" t="s">
        <v>712</v>
      </c>
      <c r="C984">
        <f t="shared" si="72"/>
        <v>41</v>
      </c>
      <c r="D984">
        <f t="shared" ca="1" si="69"/>
        <v>0</v>
      </c>
      <c r="E984">
        <f t="shared" si="71"/>
        <v>10055</v>
      </c>
      <c r="F984" t="s">
        <v>729</v>
      </c>
    </row>
    <row r="985" spans="1:6" ht="15.6" x14ac:dyDescent="0.3">
      <c r="A985" s="270" t="s">
        <v>666</v>
      </c>
      <c r="B985" s="270" t="s">
        <v>681</v>
      </c>
      <c r="C985">
        <f t="shared" si="72"/>
        <v>37</v>
      </c>
      <c r="D985">
        <f t="shared" ca="1" si="69"/>
        <v>1</v>
      </c>
      <c r="E985">
        <f t="shared" si="71"/>
        <v>10086</v>
      </c>
      <c r="F985" t="s">
        <v>729</v>
      </c>
    </row>
    <row r="986" spans="1:6" ht="15.6" x14ac:dyDescent="0.3">
      <c r="A986" s="270" t="s">
        <v>628</v>
      </c>
      <c r="B986" s="270" t="s">
        <v>683</v>
      </c>
      <c r="C986">
        <v>44</v>
      </c>
      <c r="D986">
        <f t="shared" ca="1" si="69"/>
        <v>1</v>
      </c>
      <c r="E986">
        <f t="shared" si="71"/>
        <v>10117</v>
      </c>
      <c r="F986" t="s">
        <v>729</v>
      </c>
    </row>
    <row r="987" spans="1:6" ht="15.6" x14ac:dyDescent="0.3">
      <c r="A987" s="270" t="s">
        <v>664</v>
      </c>
      <c r="B987" s="270" t="s">
        <v>692</v>
      </c>
      <c r="C987">
        <f t="shared" ref="C987:C1019" si="73">C797+4</f>
        <v>50</v>
      </c>
      <c r="D987">
        <f t="shared" ca="1" si="69"/>
        <v>0</v>
      </c>
      <c r="E987">
        <f t="shared" si="71"/>
        <v>10148</v>
      </c>
      <c r="F987" t="s">
        <v>729</v>
      </c>
    </row>
    <row r="988" spans="1:6" ht="15.6" x14ac:dyDescent="0.3">
      <c r="A988" s="270" t="s">
        <v>617</v>
      </c>
      <c r="B988" s="270" t="s">
        <v>675</v>
      </c>
      <c r="C988">
        <f t="shared" si="73"/>
        <v>69</v>
      </c>
      <c r="D988">
        <f t="shared" ca="1" si="69"/>
        <v>0</v>
      </c>
      <c r="E988">
        <f t="shared" si="71"/>
        <v>10179</v>
      </c>
      <c r="F988" t="s">
        <v>729</v>
      </c>
    </row>
    <row r="989" spans="1:6" ht="15.6" x14ac:dyDescent="0.3">
      <c r="A989" s="270" t="s">
        <v>625</v>
      </c>
      <c r="B989" s="270" t="s">
        <v>688</v>
      </c>
      <c r="C989">
        <f t="shared" si="73"/>
        <v>81</v>
      </c>
      <c r="D989">
        <f t="shared" ca="1" si="69"/>
        <v>0</v>
      </c>
      <c r="E989">
        <f t="shared" si="71"/>
        <v>10210</v>
      </c>
      <c r="F989" t="s">
        <v>729</v>
      </c>
    </row>
    <row r="990" spans="1:6" ht="15.6" x14ac:dyDescent="0.3">
      <c r="A990" s="270" t="s">
        <v>666</v>
      </c>
      <c r="B990" s="270" t="s">
        <v>703</v>
      </c>
      <c r="C990">
        <f t="shared" si="73"/>
        <v>54</v>
      </c>
      <c r="D990">
        <f t="shared" ca="1" si="69"/>
        <v>1</v>
      </c>
      <c r="E990">
        <f t="shared" si="71"/>
        <v>10241</v>
      </c>
      <c r="F990" t="s">
        <v>729</v>
      </c>
    </row>
    <row r="991" spans="1:6" ht="15.6" x14ac:dyDescent="0.3">
      <c r="A991" s="270" t="s">
        <v>666</v>
      </c>
      <c r="B991" s="270" t="s">
        <v>706</v>
      </c>
      <c r="C991">
        <f t="shared" si="73"/>
        <v>73</v>
      </c>
      <c r="D991">
        <f t="shared" ca="1" si="69"/>
        <v>1</v>
      </c>
      <c r="E991">
        <f t="shared" si="71"/>
        <v>10272</v>
      </c>
      <c r="F991" t="s">
        <v>729</v>
      </c>
    </row>
    <row r="992" spans="1:6" ht="15.6" x14ac:dyDescent="0.3">
      <c r="A992" s="270" t="s">
        <v>647</v>
      </c>
      <c r="B992" s="270" t="s">
        <v>668</v>
      </c>
      <c r="C992">
        <v>55</v>
      </c>
      <c r="D992">
        <f t="shared" ca="1" si="69"/>
        <v>1</v>
      </c>
      <c r="E992">
        <f t="shared" si="71"/>
        <v>10303</v>
      </c>
      <c r="F992" t="s">
        <v>729</v>
      </c>
    </row>
    <row r="993" spans="1:6" ht="15.6" x14ac:dyDescent="0.3">
      <c r="A993" s="270" t="s">
        <v>625</v>
      </c>
      <c r="B993" s="270" t="s">
        <v>668</v>
      </c>
      <c r="C993">
        <f t="shared" si="73"/>
        <v>58</v>
      </c>
      <c r="D993">
        <f t="shared" ca="1" si="69"/>
        <v>1</v>
      </c>
      <c r="E993">
        <f t="shared" si="71"/>
        <v>10334</v>
      </c>
      <c r="F993" t="s">
        <v>729</v>
      </c>
    </row>
    <row r="994" spans="1:6" ht="15.6" x14ac:dyDescent="0.3">
      <c r="A994" s="270" t="s">
        <v>634</v>
      </c>
      <c r="B994" s="270" t="s">
        <v>700</v>
      </c>
      <c r="C994">
        <f t="shared" si="73"/>
        <v>77</v>
      </c>
      <c r="D994">
        <f t="shared" ca="1" si="69"/>
        <v>0</v>
      </c>
      <c r="E994">
        <f t="shared" si="71"/>
        <v>10365</v>
      </c>
      <c r="F994" t="s">
        <v>729</v>
      </c>
    </row>
    <row r="995" spans="1:6" ht="15.6" x14ac:dyDescent="0.3">
      <c r="A995" s="270" t="s">
        <v>631</v>
      </c>
      <c r="B995" s="270" t="s">
        <v>680</v>
      </c>
      <c r="C995">
        <f t="shared" si="73"/>
        <v>89</v>
      </c>
      <c r="D995">
        <f t="shared" ca="1" si="69"/>
        <v>1</v>
      </c>
      <c r="E995">
        <f t="shared" si="71"/>
        <v>10396</v>
      </c>
      <c r="F995" t="s">
        <v>729</v>
      </c>
    </row>
    <row r="996" spans="1:6" ht="15.6" x14ac:dyDescent="0.3">
      <c r="A996" s="270" t="s">
        <v>664</v>
      </c>
      <c r="B996" s="270" t="s">
        <v>694</v>
      </c>
      <c r="C996">
        <f t="shared" si="73"/>
        <v>62</v>
      </c>
      <c r="D996">
        <f t="shared" ca="1" si="69"/>
        <v>1</v>
      </c>
      <c r="E996">
        <f t="shared" si="71"/>
        <v>10427</v>
      </c>
      <c r="F996" t="s">
        <v>729</v>
      </c>
    </row>
    <row r="997" spans="1:6" ht="15.6" x14ac:dyDescent="0.3">
      <c r="A997" s="270" t="s">
        <v>632</v>
      </c>
      <c r="B997" s="270" t="s">
        <v>697</v>
      </c>
      <c r="C997">
        <f t="shared" si="73"/>
        <v>81</v>
      </c>
      <c r="D997">
        <f t="shared" ca="1" si="69"/>
        <v>0</v>
      </c>
      <c r="E997">
        <f t="shared" si="71"/>
        <v>10458</v>
      </c>
      <c r="F997" t="s">
        <v>729</v>
      </c>
    </row>
    <row r="998" spans="1:6" ht="15.6" x14ac:dyDescent="0.3">
      <c r="A998" s="270" t="s">
        <v>648</v>
      </c>
      <c r="B998" s="270" t="s">
        <v>686</v>
      </c>
      <c r="C998">
        <f t="shared" si="73"/>
        <v>93</v>
      </c>
      <c r="D998">
        <f t="shared" ca="1" si="69"/>
        <v>1</v>
      </c>
      <c r="E998">
        <f t="shared" si="71"/>
        <v>10489</v>
      </c>
      <c r="F998" t="s">
        <v>729</v>
      </c>
    </row>
    <row r="999" spans="1:6" ht="15.6" x14ac:dyDescent="0.3">
      <c r="A999" s="270" t="s">
        <v>658</v>
      </c>
      <c r="B999" s="270" t="s">
        <v>671</v>
      </c>
      <c r="C999">
        <f t="shared" si="73"/>
        <v>66</v>
      </c>
      <c r="D999">
        <f t="shared" ca="1" si="69"/>
        <v>0</v>
      </c>
      <c r="E999">
        <f t="shared" si="71"/>
        <v>10520</v>
      </c>
      <c r="F999" t="s">
        <v>729</v>
      </c>
    </row>
    <row r="1000" spans="1:6" ht="15.6" x14ac:dyDescent="0.3">
      <c r="A1000" s="270" t="s">
        <v>663</v>
      </c>
      <c r="B1000" s="270" t="s">
        <v>679</v>
      </c>
      <c r="C1000">
        <f t="shared" si="73"/>
        <v>85</v>
      </c>
      <c r="D1000">
        <f t="shared" ca="1" si="69"/>
        <v>1</v>
      </c>
      <c r="E1000">
        <f t="shared" si="71"/>
        <v>10551</v>
      </c>
      <c r="F1000" t="s">
        <v>729</v>
      </c>
    </row>
    <row r="1001" spans="1:6" ht="15.6" x14ac:dyDescent="0.3">
      <c r="A1001" s="270" t="s">
        <v>620</v>
      </c>
      <c r="B1001" s="270" t="s">
        <v>710</v>
      </c>
      <c r="C1001">
        <f t="shared" si="73"/>
        <v>29</v>
      </c>
      <c r="D1001">
        <f t="shared" ca="1" si="69"/>
        <v>1</v>
      </c>
      <c r="E1001">
        <f t="shared" si="71"/>
        <v>10582</v>
      </c>
      <c r="F1001" t="s">
        <v>729</v>
      </c>
    </row>
    <row r="1002" spans="1:6" ht="15.6" x14ac:dyDescent="0.3">
      <c r="A1002" s="270" t="s">
        <v>665</v>
      </c>
      <c r="B1002" s="270" t="s">
        <v>568</v>
      </c>
      <c r="C1002">
        <f t="shared" si="73"/>
        <v>29</v>
      </c>
      <c r="D1002">
        <f t="shared" ca="1" si="69"/>
        <v>1</v>
      </c>
      <c r="E1002">
        <f t="shared" si="71"/>
        <v>10613</v>
      </c>
      <c r="F1002" t="s">
        <v>729</v>
      </c>
    </row>
    <row r="1003" spans="1:6" ht="15.6" x14ac:dyDescent="0.3">
      <c r="A1003" s="270" t="s">
        <v>620</v>
      </c>
      <c r="B1003" s="270" t="s">
        <v>705</v>
      </c>
      <c r="C1003">
        <f t="shared" si="73"/>
        <v>29</v>
      </c>
      <c r="D1003">
        <f t="shared" ca="1" si="69"/>
        <v>0</v>
      </c>
      <c r="E1003">
        <f t="shared" si="71"/>
        <v>10644</v>
      </c>
      <c r="F1003" t="s">
        <v>729</v>
      </c>
    </row>
    <row r="1004" spans="1:6" ht="15.6" x14ac:dyDescent="0.3">
      <c r="A1004" s="270" t="s">
        <v>663</v>
      </c>
      <c r="B1004" s="270" t="s">
        <v>680</v>
      </c>
      <c r="C1004">
        <f t="shared" si="73"/>
        <v>29</v>
      </c>
      <c r="D1004">
        <f t="shared" ca="1" si="69"/>
        <v>0</v>
      </c>
      <c r="E1004">
        <f t="shared" si="71"/>
        <v>10675</v>
      </c>
      <c r="F1004" t="s">
        <v>729</v>
      </c>
    </row>
    <row r="1005" spans="1:6" ht="15.6" x14ac:dyDescent="0.3">
      <c r="A1005" s="270" t="s">
        <v>625</v>
      </c>
      <c r="B1005" s="270" t="s">
        <v>693</v>
      </c>
      <c r="C1005">
        <f t="shared" si="73"/>
        <v>29</v>
      </c>
      <c r="D1005">
        <f t="shared" ca="1" si="69"/>
        <v>1</v>
      </c>
      <c r="E1005">
        <f t="shared" si="71"/>
        <v>10706</v>
      </c>
      <c r="F1005" t="s">
        <v>729</v>
      </c>
    </row>
    <row r="1006" spans="1:6" ht="15.6" x14ac:dyDescent="0.3">
      <c r="A1006" s="270" t="s">
        <v>629</v>
      </c>
      <c r="B1006" s="270" t="s">
        <v>690</v>
      </c>
      <c r="C1006">
        <f t="shared" si="73"/>
        <v>29</v>
      </c>
      <c r="D1006">
        <f t="shared" ca="1" si="69"/>
        <v>0</v>
      </c>
      <c r="E1006">
        <f t="shared" si="71"/>
        <v>10737</v>
      </c>
      <c r="F1006" t="s">
        <v>729</v>
      </c>
    </row>
    <row r="1007" spans="1:6" ht="15.6" x14ac:dyDescent="0.3">
      <c r="A1007" s="270" t="s">
        <v>659</v>
      </c>
      <c r="B1007" s="270" t="s">
        <v>680</v>
      </c>
      <c r="C1007">
        <f t="shared" si="73"/>
        <v>29</v>
      </c>
      <c r="D1007">
        <f t="shared" ca="1" si="69"/>
        <v>1</v>
      </c>
      <c r="E1007">
        <f t="shared" si="71"/>
        <v>10768</v>
      </c>
      <c r="F1007" t="s">
        <v>729</v>
      </c>
    </row>
    <row r="1008" spans="1:6" ht="15.6" x14ac:dyDescent="0.3">
      <c r="A1008" s="270" t="s">
        <v>619</v>
      </c>
      <c r="B1008" s="270" t="s">
        <v>711</v>
      </c>
      <c r="C1008">
        <f t="shared" si="73"/>
        <v>25</v>
      </c>
      <c r="D1008">
        <f t="shared" ca="1" si="69"/>
        <v>0</v>
      </c>
      <c r="E1008">
        <f t="shared" si="71"/>
        <v>10799</v>
      </c>
      <c r="F1008" t="s">
        <v>729</v>
      </c>
    </row>
    <row r="1009" spans="1:6" ht="15.6" x14ac:dyDescent="0.3">
      <c r="A1009" s="270" t="s">
        <v>632</v>
      </c>
      <c r="B1009" s="270" t="s">
        <v>704</v>
      </c>
      <c r="C1009">
        <f t="shared" si="73"/>
        <v>25</v>
      </c>
      <c r="D1009">
        <f t="shared" ca="1" si="69"/>
        <v>1</v>
      </c>
      <c r="E1009">
        <f t="shared" si="71"/>
        <v>10830</v>
      </c>
      <c r="F1009" t="s">
        <v>729</v>
      </c>
    </row>
    <row r="1010" spans="1:6" ht="15.6" x14ac:dyDescent="0.3">
      <c r="A1010" s="270" t="s">
        <v>636</v>
      </c>
      <c r="B1010" s="270" t="s">
        <v>680</v>
      </c>
      <c r="C1010">
        <f t="shared" si="73"/>
        <v>25</v>
      </c>
      <c r="D1010">
        <f t="shared" ca="1" si="69"/>
        <v>1</v>
      </c>
      <c r="E1010">
        <f t="shared" si="71"/>
        <v>10861</v>
      </c>
      <c r="F1010" t="s">
        <v>729</v>
      </c>
    </row>
    <row r="1011" spans="1:6" ht="15.6" x14ac:dyDescent="0.3">
      <c r="A1011" s="270" t="s">
        <v>658</v>
      </c>
      <c r="B1011" s="270" t="s">
        <v>692</v>
      </c>
      <c r="C1011">
        <f t="shared" si="73"/>
        <v>25</v>
      </c>
      <c r="D1011">
        <f t="shared" ca="1" si="69"/>
        <v>1</v>
      </c>
      <c r="E1011">
        <f t="shared" si="71"/>
        <v>10892</v>
      </c>
      <c r="F1011" t="s">
        <v>729</v>
      </c>
    </row>
    <row r="1012" spans="1:6" ht="15.6" x14ac:dyDescent="0.3">
      <c r="A1012" s="270" t="s">
        <v>642</v>
      </c>
      <c r="B1012" s="270" t="s">
        <v>701</v>
      </c>
      <c r="C1012">
        <f t="shared" si="73"/>
        <v>25</v>
      </c>
      <c r="D1012">
        <f t="shared" ca="1" si="69"/>
        <v>0</v>
      </c>
      <c r="E1012">
        <f t="shared" si="71"/>
        <v>10923</v>
      </c>
      <c r="F1012" t="s">
        <v>729</v>
      </c>
    </row>
    <row r="1013" spans="1:6" ht="15.6" x14ac:dyDescent="0.3">
      <c r="A1013" s="270" t="s">
        <v>648</v>
      </c>
      <c r="B1013" s="270" t="s">
        <v>714</v>
      </c>
      <c r="C1013">
        <f t="shared" si="73"/>
        <v>25</v>
      </c>
      <c r="D1013">
        <f t="shared" ca="1" si="69"/>
        <v>1</v>
      </c>
      <c r="E1013">
        <f t="shared" si="71"/>
        <v>10954</v>
      </c>
      <c r="F1013" t="s">
        <v>729</v>
      </c>
    </row>
    <row r="1014" spans="1:6" ht="15.6" x14ac:dyDescent="0.3">
      <c r="A1014" s="270" t="s">
        <v>656</v>
      </c>
      <c r="B1014" s="270" t="s">
        <v>679</v>
      </c>
      <c r="C1014">
        <f t="shared" si="73"/>
        <v>25</v>
      </c>
      <c r="D1014">
        <f t="shared" ca="1" si="69"/>
        <v>1</v>
      </c>
      <c r="E1014">
        <f t="shared" si="71"/>
        <v>10985</v>
      </c>
      <c r="F1014" t="s">
        <v>729</v>
      </c>
    </row>
    <row r="1015" spans="1:6" ht="15.6" x14ac:dyDescent="0.3">
      <c r="A1015" s="270" t="s">
        <v>642</v>
      </c>
      <c r="B1015" s="270" t="s">
        <v>683</v>
      </c>
      <c r="C1015">
        <f t="shared" si="73"/>
        <v>25</v>
      </c>
      <c r="D1015">
        <f t="shared" ca="1" si="69"/>
        <v>1</v>
      </c>
      <c r="E1015">
        <f t="shared" si="71"/>
        <v>11016</v>
      </c>
      <c r="F1015" t="s">
        <v>729</v>
      </c>
    </row>
    <row r="1016" spans="1:6" ht="15.6" x14ac:dyDescent="0.3">
      <c r="A1016" s="270" t="s">
        <v>664</v>
      </c>
      <c r="B1016" s="270" t="s">
        <v>701</v>
      </c>
      <c r="C1016">
        <f t="shared" si="73"/>
        <v>25</v>
      </c>
      <c r="D1016">
        <f t="shared" ca="1" si="69"/>
        <v>1</v>
      </c>
      <c r="E1016">
        <f t="shared" si="71"/>
        <v>11047</v>
      </c>
      <c r="F1016" t="s">
        <v>729</v>
      </c>
    </row>
    <row r="1017" spans="1:6" ht="15.6" x14ac:dyDescent="0.3">
      <c r="A1017" s="270" t="s">
        <v>658</v>
      </c>
      <c r="B1017" s="270" t="s">
        <v>702</v>
      </c>
      <c r="C1017">
        <f t="shared" si="73"/>
        <v>25</v>
      </c>
      <c r="D1017">
        <f t="shared" ca="1" si="69"/>
        <v>0</v>
      </c>
      <c r="E1017">
        <f t="shared" si="71"/>
        <v>11078</v>
      </c>
      <c r="F1017" t="s">
        <v>729</v>
      </c>
    </row>
    <row r="1018" spans="1:6" ht="15.6" x14ac:dyDescent="0.3">
      <c r="A1018" s="270" t="s">
        <v>639</v>
      </c>
      <c r="B1018" s="270" t="s">
        <v>708</v>
      </c>
      <c r="C1018">
        <f t="shared" si="73"/>
        <v>25</v>
      </c>
      <c r="D1018">
        <f t="shared" ca="1" si="69"/>
        <v>0</v>
      </c>
      <c r="E1018">
        <f t="shared" si="71"/>
        <v>11109</v>
      </c>
      <c r="F1018" t="s">
        <v>729</v>
      </c>
    </row>
    <row r="1019" spans="1:6" ht="15.6" x14ac:dyDescent="0.3">
      <c r="A1019" s="270" t="s">
        <v>642</v>
      </c>
      <c r="B1019" s="270" t="s">
        <v>693</v>
      </c>
      <c r="C1019">
        <f t="shared" si="73"/>
        <v>25</v>
      </c>
      <c r="D1019">
        <f t="shared" ca="1" si="69"/>
        <v>0</v>
      </c>
      <c r="E1019">
        <v>3990</v>
      </c>
      <c r="F1019" t="s">
        <v>729</v>
      </c>
    </row>
    <row r="1020" spans="1:6" ht="15.6" x14ac:dyDescent="0.3">
      <c r="A1020" s="270" t="s">
        <v>650</v>
      </c>
      <c r="B1020" s="270" t="s">
        <v>712</v>
      </c>
      <c r="C1020">
        <f>C830+4</f>
        <v>28</v>
      </c>
      <c r="D1020">
        <f t="shared" ca="1" si="69"/>
        <v>0</v>
      </c>
      <c r="E1020">
        <v>29087</v>
      </c>
      <c r="F1020" t="s">
        <v>729</v>
      </c>
    </row>
  </sheetData>
  <pageMargins left="0.7" right="0.7" top="0.75" bottom="0.75" header="0.3" footer="0.3"/>
  <pageSetup paperSize="9" orientation="portrait" horizontalDpi="300" verticalDpi="0" copies="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45"/>
  <sheetViews>
    <sheetView zoomScale="95" zoomScaleNormal="95" workbookViewId="0">
      <pane ySplit="4" topLeftCell="A5" activePane="bottomLeft" state="frozen"/>
      <selection pane="bottomLeft" activeCell="B4" sqref="B4"/>
    </sheetView>
  </sheetViews>
  <sheetFormatPr defaultColWidth="9.109375" defaultRowHeight="16.05" customHeight="1" x14ac:dyDescent="0.3"/>
  <cols>
    <col min="1" max="1" width="10.77734375" style="91" customWidth="1"/>
    <col min="2" max="2" width="45.77734375" style="134" customWidth="1"/>
    <col min="3" max="5" width="14.6640625" style="92" customWidth="1"/>
    <col min="6" max="6" width="12.6640625" style="93" customWidth="1"/>
    <col min="7" max="7" width="2.6640625" style="9" customWidth="1"/>
    <col min="8" max="9" width="14.6640625" style="92" customWidth="1"/>
    <col min="10" max="10" width="12.6640625" style="93" customWidth="1"/>
    <col min="11" max="11" width="2.6640625" style="94" customWidth="1"/>
    <col min="12" max="14" width="14.6640625" style="9" customWidth="1"/>
    <col min="15" max="15" width="2.6640625" style="9" customWidth="1"/>
    <col min="16" max="18" width="14.6640625" style="9" customWidth="1"/>
    <col min="19" max="19" width="2.6640625" style="9" customWidth="1"/>
    <col min="20" max="22" width="14.6640625" style="9" customWidth="1"/>
    <col min="23" max="23" width="2.6640625" style="9" customWidth="1"/>
    <col min="24" max="16384" width="9.109375" style="9"/>
  </cols>
  <sheetData>
    <row r="1" spans="1:11" ht="16.05" customHeight="1" x14ac:dyDescent="0.3">
      <c r="B1" s="136" t="s">
        <v>517</v>
      </c>
    </row>
    <row r="2" spans="1:11" ht="16.05" customHeight="1" x14ac:dyDescent="0.3">
      <c r="B2" s="95" t="s">
        <v>521</v>
      </c>
    </row>
    <row r="3" spans="1:11" s="99" customFormat="1" ht="16.05" customHeight="1" x14ac:dyDescent="0.25">
      <c r="A3" s="96"/>
      <c r="B3" s="97" t="s">
        <v>518</v>
      </c>
      <c r="C3" s="9"/>
      <c r="D3" s="9"/>
      <c r="E3" s="9"/>
      <c r="F3" s="9"/>
      <c r="G3" s="9"/>
      <c r="H3" s="9"/>
      <c r="I3" s="9"/>
      <c r="J3" s="9"/>
      <c r="K3" s="98"/>
    </row>
    <row r="4" spans="1:11" s="104" customFormat="1" ht="18" customHeight="1" x14ac:dyDescent="0.3">
      <c r="A4" s="100"/>
      <c r="B4" s="101"/>
      <c r="C4" s="102">
        <v>2022</v>
      </c>
      <c r="D4" s="102">
        <v>2021</v>
      </c>
      <c r="E4" s="102" t="s">
        <v>55</v>
      </c>
      <c r="F4" s="102" t="s">
        <v>56</v>
      </c>
      <c r="G4" s="9"/>
      <c r="H4" s="102">
        <v>2020</v>
      </c>
      <c r="I4" s="102" t="s">
        <v>55</v>
      </c>
      <c r="J4" s="102" t="s">
        <v>56</v>
      </c>
      <c r="K4" s="103"/>
    </row>
    <row r="5" spans="1:11" ht="16.05" customHeight="1" x14ac:dyDescent="0.3">
      <c r="A5" s="91" t="s">
        <v>160</v>
      </c>
      <c r="B5" s="105" t="s">
        <v>161</v>
      </c>
      <c r="C5" s="106">
        <v>6911623</v>
      </c>
      <c r="D5" s="107">
        <v>6242037</v>
      </c>
      <c r="E5" s="107">
        <v>669586</v>
      </c>
      <c r="F5" s="108">
        <v>0.10727043111086974</v>
      </c>
      <c r="H5" s="109">
        <v>5201696</v>
      </c>
      <c r="I5" s="107">
        <v>1040341</v>
      </c>
      <c r="J5" s="108">
        <v>0.20000034604098355</v>
      </c>
    </row>
    <row r="6" spans="1:11" ht="16.05" customHeight="1" x14ac:dyDescent="0.3">
      <c r="A6" s="91" t="s">
        <v>162</v>
      </c>
      <c r="B6" s="105" t="s">
        <v>44</v>
      </c>
      <c r="C6" s="109">
        <v>2881575</v>
      </c>
      <c r="D6" s="107">
        <v>2803264</v>
      </c>
      <c r="E6" s="107">
        <v>-78311</v>
      </c>
      <c r="F6" s="108">
        <v>-2.7935649300244288E-2</v>
      </c>
      <c r="H6" s="109">
        <v>2595869</v>
      </c>
      <c r="I6" s="107">
        <v>-207395</v>
      </c>
      <c r="J6" s="108">
        <v>-7.9894247359939968E-2</v>
      </c>
    </row>
    <row r="7" spans="1:11" ht="16.05" customHeight="1" x14ac:dyDescent="0.3">
      <c r="B7" s="105" t="s">
        <v>43</v>
      </c>
      <c r="C7" s="106">
        <v>4030048</v>
      </c>
      <c r="D7" s="110">
        <v>3438773</v>
      </c>
      <c r="E7" s="110">
        <v>591275</v>
      </c>
      <c r="F7" s="111">
        <v>0.1719435973238129</v>
      </c>
      <c r="H7" s="106">
        <v>2605827</v>
      </c>
      <c r="I7" s="110">
        <v>832946</v>
      </c>
      <c r="J7" s="111">
        <v>0.31964746700375735</v>
      </c>
    </row>
    <row r="8" spans="1:11" s="117" customFormat="1" ht="16.05" customHeight="1" x14ac:dyDescent="0.25">
      <c r="A8" s="112"/>
      <c r="B8" s="113" t="s">
        <v>57</v>
      </c>
      <c r="C8" s="114">
        <v>0.5830827289046292</v>
      </c>
      <c r="D8" s="115">
        <v>0.5509055777785361</v>
      </c>
      <c r="E8" s="115">
        <v>-3.2177151126093095E-2</v>
      </c>
      <c r="F8" s="116"/>
      <c r="G8" s="9"/>
      <c r="H8" s="114">
        <v>0.50095718780951448</v>
      </c>
      <c r="I8" s="115">
        <v>4.9948389969021623E-2</v>
      </c>
      <c r="J8" s="116"/>
    </row>
    <row r="9" spans="1:11" ht="16.05" customHeight="1" x14ac:dyDescent="0.3">
      <c r="A9" s="91" t="s">
        <v>205</v>
      </c>
      <c r="B9" s="105" t="s">
        <v>206</v>
      </c>
      <c r="C9" s="109">
        <v>67930</v>
      </c>
      <c r="D9" s="107">
        <v>38512</v>
      </c>
      <c r="E9" s="107">
        <v>29418</v>
      </c>
      <c r="F9" s="108">
        <v>0.76386580805982551</v>
      </c>
      <c r="H9" s="109">
        <v>24126</v>
      </c>
      <c r="I9" s="107">
        <v>14386</v>
      </c>
      <c r="J9" s="108">
        <v>0.59628616430407033</v>
      </c>
    </row>
    <row r="10" spans="1:11" ht="16.05" customHeight="1" x14ac:dyDescent="0.3">
      <c r="B10" s="105" t="s">
        <v>164</v>
      </c>
      <c r="C10" s="109">
        <v>2427451</v>
      </c>
      <c r="D10" s="107">
        <v>1896411</v>
      </c>
      <c r="E10" s="107">
        <v>-531040</v>
      </c>
      <c r="F10" s="108">
        <v>-0.28002368684847323</v>
      </c>
      <c r="H10" s="109">
        <v>1603492</v>
      </c>
      <c r="I10" s="107">
        <v>-292919</v>
      </c>
      <c r="J10" s="108">
        <v>-0.18267568531679609</v>
      </c>
    </row>
    <row r="11" spans="1:11" ht="16.05" customHeight="1" x14ac:dyDescent="0.3">
      <c r="A11" s="91" t="s">
        <v>165</v>
      </c>
      <c r="B11" s="105" t="s">
        <v>166</v>
      </c>
      <c r="C11" s="118">
        <v>24000</v>
      </c>
      <c r="D11" s="119">
        <v>18000</v>
      </c>
      <c r="E11" s="119">
        <v>-6000</v>
      </c>
      <c r="F11" s="120">
        <v>-0.33333333333333331</v>
      </c>
      <c r="H11" s="118">
        <v>15500</v>
      </c>
      <c r="I11" s="119">
        <v>-2500</v>
      </c>
      <c r="J11" s="120">
        <v>-0.16129032258064516</v>
      </c>
    </row>
    <row r="12" spans="1:11" ht="16.05" customHeight="1" x14ac:dyDescent="0.3">
      <c r="A12" s="91" t="s">
        <v>167</v>
      </c>
      <c r="B12" s="105" t="s">
        <v>168</v>
      </c>
      <c r="C12" s="121">
        <v>143644</v>
      </c>
      <c r="D12" s="122">
        <v>170000</v>
      </c>
      <c r="E12" s="122">
        <v>26356</v>
      </c>
      <c r="F12" s="123">
        <v>0.15503529411764705</v>
      </c>
      <c r="H12" s="121">
        <v>110520</v>
      </c>
      <c r="I12" s="122">
        <v>-59480</v>
      </c>
      <c r="J12" s="123">
        <v>-0.5381831342743395</v>
      </c>
    </row>
    <row r="13" spans="1:11" ht="16.05" customHeight="1" x14ac:dyDescent="0.3">
      <c r="A13" s="91" t="s">
        <v>200</v>
      </c>
      <c r="B13" s="105" t="s">
        <v>336</v>
      </c>
      <c r="C13" s="121">
        <v>104050</v>
      </c>
      <c r="D13" s="122">
        <v>104050</v>
      </c>
      <c r="E13" s="122">
        <v>0</v>
      </c>
      <c r="F13" s="123">
        <v>0</v>
      </c>
      <c r="H13" s="121">
        <v>104050</v>
      </c>
      <c r="I13" s="122">
        <v>0</v>
      </c>
      <c r="J13" s="123">
        <v>0</v>
      </c>
    </row>
    <row r="14" spans="1:11" ht="16.05" customHeight="1" x14ac:dyDescent="0.3">
      <c r="A14" s="91" t="s">
        <v>169</v>
      </c>
      <c r="B14" s="105" t="s">
        <v>170</v>
      </c>
      <c r="C14" s="121">
        <v>1180</v>
      </c>
      <c r="D14" s="122">
        <v>935</v>
      </c>
      <c r="E14" s="122">
        <v>-245</v>
      </c>
      <c r="F14" s="123">
        <v>-0.26203208556149732</v>
      </c>
      <c r="H14" s="121">
        <v>780</v>
      </c>
      <c r="I14" s="122">
        <v>-155</v>
      </c>
      <c r="J14" s="123">
        <v>-0.19871794871794871</v>
      </c>
    </row>
    <row r="15" spans="1:11" ht="16.05" customHeight="1" x14ac:dyDescent="0.3">
      <c r="A15" s="91" t="s">
        <v>171</v>
      </c>
      <c r="B15" s="105" t="s">
        <v>63</v>
      </c>
      <c r="C15" s="121">
        <v>27850</v>
      </c>
      <c r="D15" s="122">
        <v>22120</v>
      </c>
      <c r="E15" s="122">
        <v>-5730</v>
      </c>
      <c r="F15" s="123">
        <v>-0.25904159132007232</v>
      </c>
      <c r="H15" s="121">
        <v>18450</v>
      </c>
      <c r="I15" s="122">
        <v>-3670</v>
      </c>
      <c r="J15" s="123">
        <v>-0.19891598915989159</v>
      </c>
    </row>
    <row r="16" spans="1:11" ht="16.05" customHeight="1" x14ac:dyDescent="0.3">
      <c r="A16" s="91" t="s">
        <v>172</v>
      </c>
      <c r="B16" s="105" t="s">
        <v>173</v>
      </c>
      <c r="C16" s="121">
        <v>3477</v>
      </c>
      <c r="D16" s="122">
        <v>7210</v>
      </c>
      <c r="E16" s="122">
        <v>3733</v>
      </c>
      <c r="F16" s="123">
        <v>0.51775312066574197</v>
      </c>
      <c r="H16" s="121">
        <v>5625</v>
      </c>
      <c r="I16" s="122">
        <v>-1585</v>
      </c>
      <c r="J16" s="123">
        <v>-0.28177777777777779</v>
      </c>
    </row>
    <row r="17" spans="1:10" ht="16.05" customHeight="1" x14ac:dyDescent="0.3">
      <c r="A17" s="91" t="s">
        <v>174</v>
      </c>
      <c r="B17" s="105" t="s">
        <v>175</v>
      </c>
      <c r="C17" s="121">
        <v>2500</v>
      </c>
      <c r="D17" s="122">
        <v>2000</v>
      </c>
      <c r="E17" s="122">
        <v>-500</v>
      </c>
      <c r="F17" s="123">
        <v>-0.25</v>
      </c>
      <c r="H17" s="121">
        <v>2500</v>
      </c>
      <c r="I17" s="122">
        <v>500</v>
      </c>
      <c r="J17" s="123">
        <v>0.2</v>
      </c>
    </row>
    <row r="18" spans="1:10" ht="16.05" customHeight="1" x14ac:dyDescent="0.3">
      <c r="A18" s="91" t="s">
        <v>199</v>
      </c>
      <c r="B18" s="105" t="s">
        <v>78</v>
      </c>
      <c r="C18" s="121">
        <v>546530</v>
      </c>
      <c r="D18" s="122">
        <v>450300</v>
      </c>
      <c r="E18" s="122">
        <v>-96230</v>
      </c>
      <c r="F18" s="123">
        <v>-0.21370197646013769</v>
      </c>
      <c r="H18" s="121">
        <v>377626</v>
      </c>
      <c r="I18" s="122">
        <v>-72674</v>
      </c>
      <c r="J18" s="123">
        <v>-0.19244967242721633</v>
      </c>
    </row>
    <row r="19" spans="1:10" ht="16.05" customHeight="1" x14ac:dyDescent="0.3">
      <c r="A19" s="91" t="s">
        <v>176</v>
      </c>
      <c r="B19" s="105" t="s">
        <v>66</v>
      </c>
      <c r="C19" s="121">
        <v>12420</v>
      </c>
      <c r="D19" s="122">
        <v>10875</v>
      </c>
      <c r="E19" s="122">
        <v>-1545</v>
      </c>
      <c r="F19" s="123">
        <v>-0.14206896551724138</v>
      </c>
      <c r="H19" s="121">
        <v>11020</v>
      </c>
      <c r="I19" s="122">
        <v>145</v>
      </c>
      <c r="J19" s="123">
        <v>1.3157894736842105E-2</v>
      </c>
    </row>
    <row r="20" spans="1:10" ht="16.05" customHeight="1" x14ac:dyDescent="0.3">
      <c r="A20" s="91" t="s">
        <v>177</v>
      </c>
      <c r="B20" s="105" t="s">
        <v>67</v>
      </c>
      <c r="C20" s="121">
        <v>3840</v>
      </c>
      <c r="D20" s="122">
        <v>3420</v>
      </c>
      <c r="E20" s="122">
        <v>-420</v>
      </c>
      <c r="F20" s="123">
        <v>-0.12280701754385964</v>
      </c>
      <c r="H20" s="121">
        <v>3100</v>
      </c>
      <c r="I20" s="122">
        <v>-320</v>
      </c>
      <c r="J20" s="123">
        <v>-0.1032258064516129</v>
      </c>
    </row>
    <row r="21" spans="1:10" ht="16.05" customHeight="1" x14ac:dyDescent="0.3">
      <c r="A21" s="91" t="s">
        <v>178</v>
      </c>
      <c r="B21" s="105" t="s">
        <v>179</v>
      </c>
      <c r="C21" s="121">
        <v>996</v>
      </c>
      <c r="D21" s="122">
        <v>660</v>
      </c>
      <c r="E21" s="122">
        <v>-336</v>
      </c>
      <c r="F21" s="123">
        <v>-0.50909090909090904</v>
      </c>
      <c r="H21" s="121">
        <v>350</v>
      </c>
      <c r="I21" s="122">
        <v>-310</v>
      </c>
      <c r="J21" s="123">
        <v>-0.88571428571428568</v>
      </c>
    </row>
    <row r="22" spans="1:10" ht="16.05" customHeight="1" x14ac:dyDescent="0.3">
      <c r="A22" s="91" t="s">
        <v>180</v>
      </c>
      <c r="B22" s="105" t="s">
        <v>181</v>
      </c>
      <c r="C22" s="121">
        <v>144000</v>
      </c>
      <c r="D22" s="122">
        <v>120000</v>
      </c>
      <c r="E22" s="122">
        <v>-24000</v>
      </c>
      <c r="F22" s="123">
        <v>-0.2</v>
      </c>
      <c r="H22" s="121">
        <v>114000</v>
      </c>
      <c r="I22" s="122">
        <v>-6000</v>
      </c>
      <c r="J22" s="123">
        <v>-5.2631578947368418E-2</v>
      </c>
    </row>
    <row r="23" spans="1:10" ht="16.05" customHeight="1" x14ac:dyDescent="0.3">
      <c r="A23" s="91" t="s">
        <v>182</v>
      </c>
      <c r="B23" s="105" t="s">
        <v>70</v>
      </c>
      <c r="C23" s="121">
        <v>524</v>
      </c>
      <c r="D23" s="122">
        <v>452</v>
      </c>
      <c r="E23" s="122">
        <v>-72</v>
      </c>
      <c r="F23" s="123">
        <v>-0.15929203539823009</v>
      </c>
      <c r="H23" s="121">
        <v>685</v>
      </c>
      <c r="I23" s="122">
        <v>233</v>
      </c>
      <c r="J23" s="123">
        <v>0.34014598540145985</v>
      </c>
    </row>
    <row r="24" spans="1:10" ht="16.05" customHeight="1" x14ac:dyDescent="0.3">
      <c r="A24" s="91" t="s">
        <v>183</v>
      </c>
      <c r="B24" s="105" t="s">
        <v>184</v>
      </c>
      <c r="C24" s="121">
        <v>5652</v>
      </c>
      <c r="D24" s="122">
        <v>36250</v>
      </c>
      <c r="E24" s="122">
        <v>30598</v>
      </c>
      <c r="F24" s="123">
        <v>0.84408275862068971</v>
      </c>
      <c r="H24" s="121">
        <v>0</v>
      </c>
      <c r="I24" s="122">
        <v>-36250</v>
      </c>
      <c r="J24" s="123">
        <v>-1</v>
      </c>
    </row>
    <row r="25" spans="1:10" ht="16.05" customHeight="1" x14ac:dyDescent="0.3">
      <c r="A25" s="91" t="s">
        <v>196</v>
      </c>
      <c r="B25" s="105" t="s">
        <v>374</v>
      </c>
      <c r="C25" s="121">
        <v>548600</v>
      </c>
      <c r="D25" s="122">
        <v>435500</v>
      </c>
      <c r="E25" s="122">
        <v>-113100</v>
      </c>
      <c r="F25" s="123">
        <v>-0.25970149253731345</v>
      </c>
      <c r="H25" s="121">
        <v>385260</v>
      </c>
      <c r="I25" s="122">
        <v>-50240</v>
      </c>
      <c r="J25" s="123">
        <v>-0.13040544048175259</v>
      </c>
    </row>
    <row r="26" spans="1:10" ht="16.05" customHeight="1" x14ac:dyDescent="0.3">
      <c r="A26" s="91" t="s">
        <v>370</v>
      </c>
      <c r="B26" s="105" t="s">
        <v>375</v>
      </c>
      <c r="C26" s="121">
        <v>785720</v>
      </c>
      <c r="D26" s="122">
        <v>434640</v>
      </c>
      <c r="E26" s="122">
        <v>-351080</v>
      </c>
      <c r="F26" s="123">
        <v>-0.80774894165286215</v>
      </c>
      <c r="H26" s="121">
        <v>401250</v>
      </c>
      <c r="I26" s="122">
        <v>-33390</v>
      </c>
      <c r="J26" s="123">
        <v>-8.3214953271028042E-2</v>
      </c>
    </row>
    <row r="27" spans="1:10" ht="16.05" customHeight="1" x14ac:dyDescent="0.3">
      <c r="A27" s="91" t="s">
        <v>185</v>
      </c>
      <c r="B27" s="105" t="s">
        <v>72</v>
      </c>
      <c r="C27" s="121">
        <v>2491</v>
      </c>
      <c r="D27" s="122">
        <v>1257</v>
      </c>
      <c r="E27" s="122">
        <v>-1234</v>
      </c>
      <c r="F27" s="123">
        <v>-0.98170246618933965</v>
      </c>
      <c r="H27" s="121">
        <v>1150</v>
      </c>
      <c r="I27" s="122">
        <v>-107</v>
      </c>
      <c r="J27" s="123">
        <v>-9.3043478260869561E-2</v>
      </c>
    </row>
    <row r="28" spans="1:10" ht="16.05" customHeight="1" x14ac:dyDescent="0.3">
      <c r="A28" s="91" t="s">
        <v>186</v>
      </c>
      <c r="B28" s="105" t="s">
        <v>187</v>
      </c>
      <c r="C28" s="121">
        <v>5200</v>
      </c>
      <c r="D28" s="122">
        <v>4800</v>
      </c>
      <c r="E28" s="122">
        <v>-400</v>
      </c>
      <c r="F28" s="123">
        <v>-8.3333333333333329E-2</v>
      </c>
      <c r="H28" s="121">
        <v>4400</v>
      </c>
      <c r="I28" s="122">
        <v>-400</v>
      </c>
      <c r="J28" s="123">
        <v>-9.0909090909090912E-2</v>
      </c>
    </row>
    <row r="29" spans="1:10" ht="16.05" customHeight="1" x14ac:dyDescent="0.3">
      <c r="A29" s="91" t="s">
        <v>188</v>
      </c>
      <c r="B29" s="105" t="s">
        <v>189</v>
      </c>
      <c r="C29" s="121">
        <v>8867</v>
      </c>
      <c r="D29" s="122">
        <v>7504</v>
      </c>
      <c r="E29" s="122">
        <v>-1363</v>
      </c>
      <c r="F29" s="123">
        <v>-0.18163646055437099</v>
      </c>
      <c r="H29" s="121">
        <v>7220</v>
      </c>
      <c r="I29" s="122">
        <v>-284</v>
      </c>
      <c r="J29" s="123">
        <v>-3.933518005540166E-2</v>
      </c>
    </row>
    <row r="30" spans="1:10" ht="16.05" customHeight="1" x14ac:dyDescent="0.3">
      <c r="A30" s="91" t="s">
        <v>190</v>
      </c>
      <c r="B30" s="105" t="s">
        <v>75</v>
      </c>
      <c r="C30" s="121">
        <v>4043</v>
      </c>
      <c r="D30" s="122">
        <v>1521</v>
      </c>
      <c r="E30" s="122">
        <v>-2522</v>
      </c>
      <c r="F30" s="123">
        <v>-1.6581196581196582</v>
      </c>
      <c r="H30" s="121">
        <v>875</v>
      </c>
      <c r="I30" s="122">
        <v>-646</v>
      </c>
      <c r="J30" s="123">
        <v>-0.73828571428571432</v>
      </c>
    </row>
    <row r="31" spans="1:10" ht="16.05" customHeight="1" x14ac:dyDescent="0.3">
      <c r="A31" s="91" t="s">
        <v>191</v>
      </c>
      <c r="B31" s="105" t="s">
        <v>192</v>
      </c>
      <c r="C31" s="121">
        <v>13705</v>
      </c>
      <c r="D31" s="122">
        <v>4589</v>
      </c>
      <c r="E31" s="122">
        <v>-9116</v>
      </c>
      <c r="F31" s="123">
        <v>-1.9864894312486381</v>
      </c>
      <c r="H31" s="121">
        <v>10420</v>
      </c>
      <c r="I31" s="122">
        <v>5831</v>
      </c>
      <c r="J31" s="123">
        <v>0.55959692898272551</v>
      </c>
    </row>
    <row r="32" spans="1:10" ht="16.05" customHeight="1" x14ac:dyDescent="0.3">
      <c r="A32" s="91" t="s">
        <v>193</v>
      </c>
      <c r="B32" s="105" t="s">
        <v>77</v>
      </c>
      <c r="C32" s="121">
        <v>6540</v>
      </c>
      <c r="D32" s="122">
        <v>6090</v>
      </c>
      <c r="E32" s="122">
        <v>-450</v>
      </c>
      <c r="F32" s="123">
        <v>-7.3891625615763554E-2</v>
      </c>
      <c r="H32" s="121">
        <v>5872</v>
      </c>
      <c r="I32" s="122">
        <v>-218</v>
      </c>
      <c r="J32" s="123">
        <v>-3.7125340599455041E-2</v>
      </c>
    </row>
    <row r="33" spans="1:11" ht="16.05" customHeight="1" x14ac:dyDescent="0.3">
      <c r="A33" s="91" t="s">
        <v>204</v>
      </c>
      <c r="B33" s="105" t="s">
        <v>3</v>
      </c>
      <c r="C33" s="124">
        <v>31622</v>
      </c>
      <c r="D33" s="125">
        <v>54238</v>
      </c>
      <c r="E33" s="125">
        <v>22616</v>
      </c>
      <c r="F33" s="126">
        <v>0.4169770271765183</v>
      </c>
      <c r="H33" s="124">
        <v>22839</v>
      </c>
      <c r="I33" s="125">
        <v>-31399</v>
      </c>
      <c r="J33" s="126">
        <v>-1.3747974955120628</v>
      </c>
    </row>
    <row r="34" spans="1:11" ht="16.05" customHeight="1" x14ac:dyDescent="0.3">
      <c r="B34" s="105" t="s">
        <v>373</v>
      </c>
      <c r="C34" s="109">
        <v>1670527</v>
      </c>
      <c r="D34" s="107">
        <v>1580874</v>
      </c>
      <c r="E34" s="107">
        <v>89653</v>
      </c>
      <c r="F34" s="108">
        <v>5.6711034529001045E-2</v>
      </c>
      <c r="H34" s="109">
        <v>1026461</v>
      </c>
      <c r="I34" s="107">
        <v>554413</v>
      </c>
      <c r="J34" s="108">
        <v>0.54012086187395336</v>
      </c>
    </row>
    <row r="35" spans="1:11" ht="16.05" customHeight="1" x14ac:dyDescent="0.3">
      <c r="A35" s="91" t="s">
        <v>201</v>
      </c>
      <c r="B35" s="105" t="s">
        <v>25</v>
      </c>
      <c r="C35" s="109">
        <v>194222</v>
      </c>
      <c r="D35" s="107">
        <v>212354</v>
      </c>
      <c r="E35" s="107">
        <v>18132</v>
      </c>
      <c r="F35" s="108">
        <v>8.5385723838496103E-2</v>
      </c>
      <c r="H35" s="109">
        <v>180742</v>
      </c>
      <c r="I35" s="107">
        <v>-31612</v>
      </c>
      <c r="J35" s="108">
        <v>-0.17490124044217725</v>
      </c>
    </row>
    <row r="36" spans="1:11" ht="16.05" customHeight="1" x14ac:dyDescent="0.3">
      <c r="B36" s="105" t="s">
        <v>46</v>
      </c>
      <c r="C36" s="106">
        <v>1476305</v>
      </c>
      <c r="D36" s="110">
        <v>1368520</v>
      </c>
      <c r="E36" s="110">
        <v>107785</v>
      </c>
      <c r="F36" s="111">
        <v>7.8760266565340659E-2</v>
      </c>
      <c r="H36" s="106">
        <v>845719</v>
      </c>
      <c r="I36" s="110">
        <v>522801</v>
      </c>
      <c r="J36" s="111">
        <v>0.61817341220901978</v>
      </c>
    </row>
    <row r="37" spans="1:11" ht="16.05" customHeight="1" x14ac:dyDescent="0.3">
      <c r="A37" s="91" t="s">
        <v>202</v>
      </c>
      <c r="B37" s="105" t="s">
        <v>203</v>
      </c>
      <c r="C37" s="109">
        <v>442236</v>
      </c>
      <c r="D37" s="107">
        <v>263853</v>
      </c>
      <c r="E37" s="107">
        <v>-178383</v>
      </c>
      <c r="F37" s="108">
        <v>-0.67606962968016282</v>
      </c>
      <c r="H37" s="109">
        <v>236801</v>
      </c>
      <c r="I37" s="107">
        <v>-27052</v>
      </c>
      <c r="J37" s="108">
        <v>-0.11423938243504039</v>
      </c>
    </row>
    <row r="38" spans="1:11" ht="16.05" customHeight="1" x14ac:dyDescent="0.3">
      <c r="B38" s="105" t="s">
        <v>83</v>
      </c>
      <c r="C38" s="106">
        <v>1034069</v>
      </c>
      <c r="D38" s="110">
        <v>1104667</v>
      </c>
      <c r="E38" s="110">
        <v>-70598</v>
      </c>
      <c r="F38" s="111">
        <v>-6.3908852169929947E-2</v>
      </c>
      <c r="H38" s="106">
        <v>608918</v>
      </c>
      <c r="I38" s="110">
        <v>495749</v>
      </c>
      <c r="J38" s="111">
        <v>0.81414738930365005</v>
      </c>
    </row>
    <row r="39" spans="1:11" ht="16.05" customHeight="1" x14ac:dyDescent="0.3">
      <c r="A39" s="91" t="s">
        <v>240</v>
      </c>
      <c r="B39" s="105" t="s">
        <v>81</v>
      </c>
      <c r="C39" s="109">
        <v>4339805</v>
      </c>
      <c r="D39" s="107">
        <v>3335138</v>
      </c>
      <c r="E39" s="107">
        <v>1004667</v>
      </c>
      <c r="F39" s="108">
        <v>0.301237010282633</v>
      </c>
      <c r="H39" s="109">
        <v>2801220</v>
      </c>
      <c r="I39" s="107">
        <v>533918</v>
      </c>
      <c r="J39" s="108">
        <v>0.19060195200662569</v>
      </c>
    </row>
    <row r="40" spans="1:11" ht="16.05" customHeight="1" x14ac:dyDescent="0.3">
      <c r="A40" s="91" t="s">
        <v>207</v>
      </c>
      <c r="B40" s="105" t="s">
        <v>29</v>
      </c>
      <c r="C40" s="109">
        <v>150000</v>
      </c>
      <c r="D40" s="107">
        <v>100000</v>
      </c>
      <c r="E40" s="107">
        <v>-50000</v>
      </c>
      <c r="F40" s="108">
        <v>-0.5</v>
      </c>
      <c r="H40" s="109">
        <v>75000</v>
      </c>
      <c r="I40" s="107">
        <v>-25000</v>
      </c>
      <c r="J40" s="108">
        <v>-0.33333333333333331</v>
      </c>
    </row>
    <row r="41" spans="1:11" s="133" customFormat="1" ht="16.05" customHeight="1" thickBot="1" x14ac:dyDescent="0.3">
      <c r="A41" s="127"/>
      <c r="B41" s="128" t="s">
        <v>82</v>
      </c>
      <c r="C41" s="129">
        <v>5223874</v>
      </c>
      <c r="D41" s="130">
        <v>4339805</v>
      </c>
      <c r="E41" s="130">
        <v>884069</v>
      </c>
      <c r="F41" s="131">
        <v>0.20371168750669674</v>
      </c>
      <c r="G41" s="9"/>
      <c r="H41" s="129">
        <v>3335138</v>
      </c>
      <c r="I41" s="130">
        <v>1004667</v>
      </c>
      <c r="J41" s="131">
        <v>0.301237010282633</v>
      </c>
      <c r="K41" s="132"/>
    </row>
    <row r="42" spans="1:11" ht="16.05" customHeight="1" thickTop="1" x14ac:dyDescent="0.3">
      <c r="C42" s="107"/>
      <c r="D42" s="107"/>
      <c r="E42" s="107"/>
      <c r="F42" s="135"/>
      <c r="H42" s="107"/>
      <c r="I42" s="107"/>
      <c r="J42" s="135"/>
    </row>
    <row r="43" spans="1:11" ht="16.05" customHeight="1" x14ac:dyDescent="0.3">
      <c r="B43" s="191" t="s">
        <v>447</v>
      </c>
      <c r="C43" s="188">
        <v>8.6011213971640696</v>
      </c>
      <c r="D43" s="188">
        <v>7.4445218832703883</v>
      </c>
      <c r="E43" s="188">
        <v>1.1565995138936813</v>
      </c>
      <c r="F43" s="93">
        <v>0.15536249769012508</v>
      </c>
      <c r="H43" s="188">
        <v>5.6791503911653072</v>
      </c>
      <c r="I43" s="188">
        <v>1.7653714921050812</v>
      </c>
      <c r="J43" s="93">
        <v>0.31085133699775891</v>
      </c>
    </row>
    <row r="44" spans="1:11" s="189" customFormat="1" ht="16.05" customHeight="1" x14ac:dyDescent="0.3">
      <c r="A44" s="190"/>
      <c r="B44" s="192" t="s">
        <v>448</v>
      </c>
      <c r="C44" s="189">
        <v>0.19791271521571621</v>
      </c>
      <c r="D44" s="189">
        <v>0.25448436407532704</v>
      </c>
      <c r="E44" s="189">
        <v>5.6571648859610829E-2</v>
      </c>
      <c r="H44" s="189">
        <v>0.18252182613548959</v>
      </c>
      <c r="I44" s="189">
        <v>7.1962537939837451E-2</v>
      </c>
    </row>
    <row r="45" spans="1:11" ht="16.05" customHeight="1" x14ac:dyDescent="0.3">
      <c r="B45" s="134" t="s">
        <v>468</v>
      </c>
      <c r="C45" s="189">
        <v>0.15805649944110733</v>
      </c>
      <c r="D45" s="189">
        <v>0.1706764548605462</v>
      </c>
      <c r="E45" s="189">
        <v>1.2619955419438861E-2</v>
      </c>
      <c r="H45" s="189">
        <v>0.11836443037270961</v>
      </c>
      <c r="I45" s="189">
        <v>5.2312024487836589E-2</v>
      </c>
    </row>
  </sheetData>
  <sheetProtection algorithmName="SHA-512" hashValue="/gtIlTB5SJVHQlWSfLm5jVLDG1Ae27felrTqhYegZo3Fp7s3yBM+Aj8JWncGWmq3nIPg8IDWn98BMMBnlLkAUw==" saltValue="6WAIVVmS8dGVAvaIW1gyLw==" spinCount="100000" sheet="1" objects="1" scenarios="1"/>
  <pageMargins left="0.55118110236220474" right="0.55118110236220474" top="0.55118110236220474" bottom="0.55118110236220474" header="0.39370078740157483" footer="0.39370078740157483"/>
  <pageSetup paperSize="9" scale="66" fitToWidth="0" orientation="landscape" r:id="rId1"/>
  <headerFooter>
    <oddFooter>&amp;C&amp;"-,Regular"&amp;9Page &amp;P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K46"/>
  <sheetViews>
    <sheetView zoomScale="95" zoomScaleNormal="95" workbookViewId="0">
      <pane xSplit="1" ySplit="4" topLeftCell="B5" activePane="bottomRight" state="frozen"/>
      <selection pane="topRight" activeCell="B1" sqref="B1"/>
      <selection pane="bottomLeft" activeCell="A5" sqref="A5"/>
      <selection pane="bottomRight" activeCell="B4" sqref="B4"/>
    </sheetView>
  </sheetViews>
  <sheetFormatPr defaultColWidth="9.109375" defaultRowHeight="16.05" customHeight="1" x14ac:dyDescent="0.3"/>
  <cols>
    <col min="1" max="1" width="10.77734375" style="1" customWidth="1"/>
    <col min="2" max="2" width="45.77734375" style="83" customWidth="1"/>
    <col min="3" max="5" width="14.6640625" style="34" customWidth="1"/>
    <col min="6" max="6" width="12.6640625" style="35" customWidth="1"/>
    <col min="7" max="7" width="2.6640625" style="11" customWidth="1"/>
    <col min="8" max="9" width="14.6640625" style="34" customWidth="1"/>
    <col min="10" max="10" width="12.6640625" style="35" customWidth="1"/>
    <col min="11" max="11" width="2.6640625" style="25" customWidth="1"/>
    <col min="12" max="14" width="14.6640625" style="11" customWidth="1"/>
    <col min="15" max="15" width="2.6640625" style="11" customWidth="1"/>
    <col min="16" max="18" width="14.6640625" style="11" customWidth="1"/>
    <col min="19" max="19" width="2.6640625" style="11" customWidth="1"/>
    <col min="20" max="22" width="14.6640625" style="11" customWidth="1"/>
    <col min="23" max="23" width="2.6640625" style="11" customWidth="1"/>
    <col min="24" max="16384" width="9.109375" style="11"/>
  </cols>
  <sheetData>
    <row r="1" spans="1:11" ht="16.05" customHeight="1" x14ac:dyDescent="0.3">
      <c r="B1" s="7" t="s">
        <v>517</v>
      </c>
    </row>
    <row r="2" spans="1:11" s="39" customFormat="1" ht="16.05" customHeight="1" x14ac:dyDescent="0.25">
      <c r="A2" s="3"/>
      <c r="B2" s="56" t="s">
        <v>522</v>
      </c>
      <c r="C2" s="57"/>
      <c r="D2" s="57"/>
      <c r="E2" s="57"/>
      <c r="F2" s="58"/>
      <c r="G2" s="11"/>
      <c r="H2" s="57"/>
      <c r="I2" s="57"/>
      <c r="J2" s="58"/>
      <c r="K2" s="38"/>
    </row>
    <row r="3" spans="1:11" s="39" customFormat="1" ht="16.05" customHeight="1" x14ac:dyDescent="0.25">
      <c r="A3" s="3"/>
      <c r="B3" s="59" t="s">
        <v>518</v>
      </c>
      <c r="C3" s="11"/>
      <c r="D3" s="11"/>
      <c r="E3" s="11"/>
      <c r="F3" s="11"/>
      <c r="G3" s="11"/>
      <c r="H3" s="11"/>
      <c r="I3" s="11"/>
      <c r="J3" s="11"/>
      <c r="K3" s="38"/>
    </row>
    <row r="4" spans="1:11" s="30" customFormat="1" ht="18" customHeight="1" x14ac:dyDescent="0.3">
      <c r="A4" s="4"/>
      <c r="B4" s="40"/>
      <c r="C4" s="41">
        <v>2022</v>
      </c>
      <c r="D4" s="41">
        <v>2021</v>
      </c>
      <c r="E4" s="41" t="s">
        <v>55</v>
      </c>
      <c r="F4" s="41" t="s">
        <v>56</v>
      </c>
      <c r="G4" s="60"/>
      <c r="H4" s="41">
        <v>2020</v>
      </c>
      <c r="I4" s="41" t="s">
        <v>55</v>
      </c>
      <c r="J4" s="41" t="s">
        <v>56</v>
      </c>
      <c r="K4" s="42"/>
    </row>
    <row r="5" spans="1:11" s="55" customFormat="1" ht="16.05" customHeight="1" x14ac:dyDescent="0.25">
      <c r="A5" s="2"/>
      <c r="B5" s="61" t="s">
        <v>21</v>
      </c>
      <c r="C5" s="62"/>
      <c r="D5" s="63"/>
      <c r="E5" s="63"/>
      <c r="F5" s="64"/>
      <c r="G5" s="11"/>
      <c r="H5" s="65"/>
      <c r="I5" s="63"/>
      <c r="J5" s="64"/>
      <c r="K5" s="54"/>
    </row>
    <row r="6" spans="1:11" ht="16.05" customHeight="1" x14ac:dyDescent="0.3">
      <c r="B6" s="66" t="s">
        <v>83</v>
      </c>
      <c r="C6" s="47">
        <v>1034069</v>
      </c>
      <c r="D6" s="45">
        <v>1104667</v>
      </c>
      <c r="E6" s="45">
        <v>-70598</v>
      </c>
      <c r="F6" s="46">
        <v>-6.3908852169929947E-2</v>
      </c>
      <c r="H6" s="47">
        <v>608918</v>
      </c>
      <c r="I6" s="45">
        <v>495749</v>
      </c>
      <c r="J6" s="46">
        <v>0.81414738930365005</v>
      </c>
    </row>
    <row r="7" spans="1:11" ht="16.05" customHeight="1" x14ac:dyDescent="0.3">
      <c r="B7" s="66" t="s">
        <v>376</v>
      </c>
      <c r="C7" s="47">
        <v>194222</v>
      </c>
      <c r="D7" s="45">
        <v>212354</v>
      </c>
      <c r="E7" s="45">
        <v>-18132</v>
      </c>
      <c r="F7" s="46">
        <v>-8.5385723838496103E-2</v>
      </c>
      <c r="H7" s="47">
        <v>180742</v>
      </c>
      <c r="I7" s="45">
        <v>31612</v>
      </c>
      <c r="J7" s="46">
        <v>0.17490124044217725</v>
      </c>
    </row>
    <row r="8" spans="1:11" ht="16.05" customHeight="1" x14ac:dyDescent="0.3">
      <c r="B8" s="66" t="s">
        <v>58</v>
      </c>
      <c r="C8" s="47">
        <v>442236</v>
      </c>
      <c r="D8" s="45">
        <v>263853</v>
      </c>
      <c r="E8" s="45">
        <v>178383</v>
      </c>
      <c r="F8" s="46">
        <v>0.67606962968016282</v>
      </c>
      <c r="H8" s="47">
        <v>236801</v>
      </c>
      <c r="I8" s="45">
        <v>27052</v>
      </c>
      <c r="J8" s="46">
        <v>0.11423938243504039</v>
      </c>
    </row>
    <row r="9" spans="1:11" ht="16.05" customHeight="1" x14ac:dyDescent="0.3">
      <c r="B9" s="66" t="s">
        <v>84</v>
      </c>
      <c r="C9" s="47"/>
      <c r="D9" s="45"/>
      <c r="E9" s="45"/>
      <c r="F9" s="46"/>
      <c r="H9" s="47"/>
      <c r="I9" s="45"/>
      <c r="J9" s="46"/>
    </row>
    <row r="10" spans="1:11" ht="16.05" customHeight="1" x14ac:dyDescent="0.3">
      <c r="A10" s="1" t="s">
        <v>210</v>
      </c>
      <c r="B10" s="66" t="s">
        <v>59</v>
      </c>
      <c r="C10" s="47">
        <v>546530</v>
      </c>
      <c r="D10" s="45">
        <v>450300</v>
      </c>
      <c r="E10" s="45">
        <v>96230</v>
      </c>
      <c r="F10" s="46">
        <v>0.21370197646013769</v>
      </c>
      <c r="H10" s="47">
        <v>377626</v>
      </c>
      <c r="I10" s="45">
        <v>72674</v>
      </c>
      <c r="J10" s="46">
        <v>0.19244967242721633</v>
      </c>
    </row>
    <row r="11" spans="1:11" ht="16.05" customHeight="1" x14ac:dyDescent="0.3">
      <c r="A11" s="1" t="s">
        <v>214</v>
      </c>
      <c r="B11" s="66" t="s">
        <v>60</v>
      </c>
      <c r="C11" s="47">
        <v>104050</v>
      </c>
      <c r="D11" s="45">
        <v>104050</v>
      </c>
      <c r="E11" s="45">
        <v>0</v>
      </c>
      <c r="F11" s="46">
        <v>0</v>
      </c>
      <c r="H11" s="47">
        <v>104050</v>
      </c>
      <c r="I11" s="45">
        <v>0</v>
      </c>
      <c r="J11" s="46">
        <v>0</v>
      </c>
    </row>
    <row r="12" spans="1:11" ht="16.05" customHeight="1" x14ac:dyDescent="0.3">
      <c r="A12" s="1" t="s">
        <v>240</v>
      </c>
      <c r="B12" s="66" t="s">
        <v>385</v>
      </c>
      <c r="C12" s="47">
        <v>0</v>
      </c>
      <c r="D12" s="45">
        <v>0</v>
      </c>
      <c r="E12" s="45">
        <v>0</v>
      </c>
      <c r="F12" s="46">
        <v>0</v>
      </c>
      <c r="H12" s="47">
        <v>0</v>
      </c>
      <c r="I12" s="45">
        <v>0</v>
      </c>
      <c r="J12" s="46">
        <v>0</v>
      </c>
    </row>
    <row r="13" spans="1:11" ht="16.05" customHeight="1" x14ac:dyDescent="0.3">
      <c r="A13" s="1" t="s">
        <v>238</v>
      </c>
      <c r="B13" s="66" t="s">
        <v>387</v>
      </c>
      <c r="C13" s="47">
        <v>0</v>
      </c>
      <c r="D13" s="45">
        <v>0</v>
      </c>
      <c r="E13" s="45">
        <v>0</v>
      </c>
      <c r="F13" s="46">
        <v>0</v>
      </c>
      <c r="H13" s="47">
        <v>0</v>
      </c>
      <c r="I13" s="45">
        <v>0</v>
      </c>
      <c r="J13" s="46">
        <v>0</v>
      </c>
    </row>
    <row r="14" spans="1:11" ht="16.05" customHeight="1" x14ac:dyDescent="0.3">
      <c r="A14" s="1" t="s">
        <v>231</v>
      </c>
      <c r="B14" s="66" t="s">
        <v>386</v>
      </c>
      <c r="C14" s="47">
        <v>-47</v>
      </c>
      <c r="D14" s="45">
        <v>3233</v>
      </c>
      <c r="E14" s="45">
        <v>-3280</v>
      </c>
      <c r="F14" s="46">
        <v>-1.0145375811939374</v>
      </c>
      <c r="H14" s="47">
        <v>31237</v>
      </c>
      <c r="I14" s="45">
        <v>-28004</v>
      </c>
      <c r="J14" s="46">
        <v>-0.89650094439286743</v>
      </c>
    </row>
    <row r="15" spans="1:11" ht="16.05" customHeight="1" x14ac:dyDescent="0.3">
      <c r="B15" s="66" t="s">
        <v>377</v>
      </c>
      <c r="C15" s="47"/>
      <c r="D15" s="45"/>
      <c r="E15" s="45"/>
      <c r="F15" s="46"/>
      <c r="H15" s="47"/>
      <c r="I15" s="45"/>
      <c r="J15" s="46"/>
    </row>
    <row r="16" spans="1:11" ht="16.05" customHeight="1" x14ac:dyDescent="0.3">
      <c r="A16" s="1" t="s">
        <v>220</v>
      </c>
      <c r="B16" s="66" t="s">
        <v>380</v>
      </c>
      <c r="C16" s="47">
        <v>-72137</v>
      </c>
      <c r="D16" s="45">
        <v>-39903</v>
      </c>
      <c r="E16" s="45">
        <v>-32234</v>
      </c>
      <c r="F16" s="46">
        <v>-0.80780893667142817</v>
      </c>
      <c r="H16" s="47">
        <v>-29529</v>
      </c>
      <c r="I16" s="45">
        <v>-10374</v>
      </c>
      <c r="J16" s="46">
        <v>-0.35131565579599716</v>
      </c>
    </row>
    <row r="17" spans="1:11" ht="16.05" customHeight="1" x14ac:dyDescent="0.3">
      <c r="A17" s="1" t="s">
        <v>216</v>
      </c>
      <c r="B17" s="66" t="s">
        <v>378</v>
      </c>
      <c r="C17" s="47">
        <v>-11800</v>
      </c>
      <c r="D17" s="45">
        <v>-17980</v>
      </c>
      <c r="E17" s="45">
        <v>6180</v>
      </c>
      <c r="F17" s="46">
        <v>0.34371523915461621</v>
      </c>
      <c r="H17" s="47">
        <v>-7690</v>
      </c>
      <c r="I17" s="45">
        <v>-10290</v>
      </c>
      <c r="J17" s="46">
        <v>-1.3381014304291288</v>
      </c>
    </row>
    <row r="18" spans="1:11" ht="16.05" customHeight="1" x14ac:dyDescent="0.3">
      <c r="A18" s="1" t="s">
        <v>221</v>
      </c>
      <c r="B18" s="66" t="s">
        <v>379</v>
      </c>
      <c r="C18" s="47">
        <v>20500</v>
      </c>
      <c r="D18" s="45">
        <v>-21900</v>
      </c>
      <c r="E18" s="45">
        <v>42400</v>
      </c>
      <c r="F18" s="46">
        <v>1.9360730593607305</v>
      </c>
      <c r="H18" s="47">
        <v>-10600</v>
      </c>
      <c r="I18" s="45">
        <v>-11300</v>
      </c>
      <c r="J18" s="46">
        <v>-1.0660377358490567</v>
      </c>
    </row>
    <row r="19" spans="1:11" ht="16.05" customHeight="1" x14ac:dyDescent="0.3">
      <c r="A19" s="1" t="s">
        <v>219</v>
      </c>
      <c r="B19" s="66" t="s">
        <v>384</v>
      </c>
      <c r="C19" s="47">
        <v>-10</v>
      </c>
      <c r="D19" s="45">
        <v>10</v>
      </c>
      <c r="E19" s="45">
        <v>-20</v>
      </c>
      <c r="F19" s="46">
        <v>-2</v>
      </c>
      <c r="H19" s="47">
        <v>0</v>
      </c>
      <c r="I19" s="45">
        <v>10</v>
      </c>
      <c r="J19" s="46">
        <v>-1</v>
      </c>
    </row>
    <row r="20" spans="1:11" ht="16.05" customHeight="1" x14ac:dyDescent="0.3">
      <c r="A20" s="1" t="s">
        <v>223</v>
      </c>
      <c r="B20" s="66" t="s">
        <v>388</v>
      </c>
      <c r="C20" s="47">
        <v>-39168</v>
      </c>
      <c r="D20" s="45">
        <v>-65549</v>
      </c>
      <c r="E20" s="45">
        <v>26381</v>
      </c>
      <c r="F20" s="46">
        <v>0.40246228012631774</v>
      </c>
      <c r="H20" s="47">
        <v>-46915</v>
      </c>
      <c r="I20" s="45">
        <v>-18634</v>
      </c>
      <c r="J20" s="46">
        <v>-0.39718640093786634</v>
      </c>
    </row>
    <row r="21" spans="1:11" ht="16.05" customHeight="1" x14ac:dyDescent="0.3">
      <c r="A21" s="1" t="s">
        <v>225</v>
      </c>
      <c r="B21" s="66" t="s">
        <v>381</v>
      </c>
      <c r="C21" s="47">
        <v>-33098</v>
      </c>
      <c r="D21" s="45">
        <v>53575</v>
      </c>
      <c r="E21" s="45">
        <v>-86673</v>
      </c>
      <c r="F21" s="46">
        <v>-1.6177881474568363</v>
      </c>
      <c r="H21" s="47">
        <v>40695</v>
      </c>
      <c r="I21" s="45">
        <v>12880</v>
      </c>
      <c r="J21" s="46">
        <v>0.31650079862390956</v>
      </c>
    </row>
    <row r="22" spans="1:11" ht="16.05" customHeight="1" x14ac:dyDescent="0.3">
      <c r="A22" s="1" t="s">
        <v>227</v>
      </c>
      <c r="B22" s="66" t="s">
        <v>382</v>
      </c>
      <c r="C22" s="47">
        <v>24417</v>
      </c>
      <c r="D22" s="45">
        <v>14812</v>
      </c>
      <c r="E22" s="45">
        <v>9605</v>
      </c>
      <c r="F22" s="46">
        <v>0.64846070753443152</v>
      </c>
      <c r="H22" s="47">
        <v>11889</v>
      </c>
      <c r="I22" s="45">
        <v>2923</v>
      </c>
      <c r="J22" s="46">
        <v>0.24585751535032382</v>
      </c>
    </row>
    <row r="23" spans="1:11" ht="16.05" customHeight="1" x14ac:dyDescent="0.3">
      <c r="A23" s="1" t="s">
        <v>233</v>
      </c>
      <c r="B23" s="66" t="s">
        <v>383</v>
      </c>
      <c r="C23" s="47">
        <v>16056</v>
      </c>
      <c r="D23" s="45">
        <v>3944</v>
      </c>
      <c r="E23" s="45">
        <v>12112</v>
      </c>
      <c r="F23" s="46">
        <v>3.0709939148073024</v>
      </c>
      <c r="H23" s="47">
        <v>10271</v>
      </c>
      <c r="I23" s="45">
        <v>-6327</v>
      </c>
      <c r="J23" s="46">
        <v>-0.61600623113620878</v>
      </c>
    </row>
    <row r="24" spans="1:11" ht="16.05" customHeight="1" x14ac:dyDescent="0.3">
      <c r="B24" s="66" t="s">
        <v>24</v>
      </c>
      <c r="C24" s="44">
        <v>2225820</v>
      </c>
      <c r="D24" s="48">
        <v>2065466</v>
      </c>
      <c r="E24" s="48">
        <v>160354</v>
      </c>
      <c r="F24" s="49">
        <v>7.7635749027096065E-2</v>
      </c>
      <c r="H24" s="44">
        <v>1507495</v>
      </c>
      <c r="I24" s="48">
        <v>557971</v>
      </c>
      <c r="J24" s="49">
        <v>0.3701312442163987</v>
      </c>
    </row>
    <row r="25" spans="1:11" ht="16.05" customHeight="1" x14ac:dyDescent="0.3">
      <c r="A25" s="1" t="s">
        <v>369</v>
      </c>
      <c r="B25" s="66" t="s">
        <v>25</v>
      </c>
      <c r="C25" s="47">
        <v>-195733</v>
      </c>
      <c r="D25" s="45">
        <v>-209719</v>
      </c>
      <c r="E25" s="45">
        <v>13986</v>
      </c>
      <c r="F25" s="46">
        <v>6.6689236549859573E-2</v>
      </c>
      <c r="H25" s="47">
        <v>-178181</v>
      </c>
      <c r="I25" s="45">
        <v>-31538</v>
      </c>
      <c r="J25" s="46">
        <v>-0.17699979234598526</v>
      </c>
    </row>
    <row r="26" spans="1:11" ht="16.05" customHeight="1" x14ac:dyDescent="0.3">
      <c r="A26" s="1" t="s">
        <v>229</v>
      </c>
      <c r="B26" s="66" t="s">
        <v>26</v>
      </c>
      <c r="C26" s="47">
        <v>-409605</v>
      </c>
      <c r="D26" s="45">
        <v>-185672</v>
      </c>
      <c r="E26" s="45">
        <v>-223933</v>
      </c>
      <c r="F26" s="46">
        <v>-1.2060676892584774</v>
      </c>
      <c r="H26" s="47">
        <v>-222959</v>
      </c>
      <c r="I26" s="45">
        <v>37287</v>
      </c>
      <c r="J26" s="46">
        <v>0.16723702564148565</v>
      </c>
    </row>
    <row r="27" spans="1:11" s="55" customFormat="1" ht="16.05" customHeight="1" thickBot="1" x14ac:dyDescent="0.3">
      <c r="A27" s="2"/>
      <c r="B27" s="61" t="s">
        <v>22</v>
      </c>
      <c r="C27" s="67">
        <v>1620482</v>
      </c>
      <c r="D27" s="68">
        <v>1670075</v>
      </c>
      <c r="E27" s="68">
        <v>-49593</v>
      </c>
      <c r="F27" s="69">
        <v>-2.9695073574540067E-2</v>
      </c>
      <c r="G27" s="11"/>
      <c r="H27" s="67">
        <v>1106355</v>
      </c>
      <c r="I27" s="68">
        <v>563720</v>
      </c>
      <c r="J27" s="69">
        <v>0.50952903905166058</v>
      </c>
      <c r="K27" s="54"/>
    </row>
    <row r="28" spans="1:11" ht="16.05" customHeight="1" x14ac:dyDescent="0.3">
      <c r="B28" s="66"/>
      <c r="C28" s="47"/>
      <c r="D28" s="45"/>
      <c r="E28" s="45"/>
      <c r="F28" s="46"/>
      <c r="H28" s="47"/>
      <c r="I28" s="45"/>
      <c r="J28" s="46"/>
    </row>
    <row r="29" spans="1:11" s="55" customFormat="1" ht="16.05" customHeight="1" x14ac:dyDescent="0.25">
      <c r="A29" s="2"/>
      <c r="B29" s="61" t="s">
        <v>23</v>
      </c>
      <c r="C29" s="65"/>
      <c r="D29" s="63"/>
      <c r="E29" s="63"/>
      <c r="F29" s="64"/>
      <c r="G29" s="11"/>
      <c r="H29" s="65"/>
      <c r="I29" s="63"/>
      <c r="J29" s="64"/>
      <c r="K29" s="54"/>
    </row>
    <row r="30" spans="1:11" ht="16.05" customHeight="1" x14ac:dyDescent="0.3">
      <c r="A30" s="1" t="s">
        <v>208</v>
      </c>
      <c r="B30" s="66" t="s">
        <v>209</v>
      </c>
      <c r="C30" s="47">
        <v>-305000</v>
      </c>
      <c r="D30" s="45">
        <v>-164750</v>
      </c>
      <c r="E30" s="45">
        <v>-140250</v>
      </c>
      <c r="F30" s="46">
        <v>-0.85128983308042494</v>
      </c>
      <c r="H30" s="47">
        <v>-407385</v>
      </c>
      <c r="I30" s="45">
        <v>242635</v>
      </c>
      <c r="J30" s="46">
        <v>0.59559139389030036</v>
      </c>
    </row>
    <row r="31" spans="1:11" ht="16.05" customHeight="1" x14ac:dyDescent="0.3">
      <c r="A31" s="1" t="s">
        <v>212</v>
      </c>
      <c r="B31" s="66" t="s">
        <v>213</v>
      </c>
      <c r="C31" s="47">
        <v>0</v>
      </c>
      <c r="D31" s="45">
        <v>0</v>
      </c>
      <c r="E31" s="45">
        <v>0</v>
      </c>
      <c r="F31" s="46">
        <v>0</v>
      </c>
      <c r="H31" s="47">
        <v>0</v>
      </c>
      <c r="I31" s="45">
        <v>0</v>
      </c>
      <c r="J31" s="46">
        <v>0</v>
      </c>
    </row>
    <row r="32" spans="1:11" ht="16.05" customHeight="1" x14ac:dyDescent="0.3">
      <c r="A32" s="1" t="s">
        <v>367</v>
      </c>
      <c r="B32" s="66" t="s">
        <v>8</v>
      </c>
      <c r="C32" s="47">
        <v>-520000</v>
      </c>
      <c r="D32" s="45">
        <v>-1482500</v>
      </c>
      <c r="E32" s="45">
        <v>962500</v>
      </c>
      <c r="F32" s="46">
        <v>0.6492411467116358</v>
      </c>
      <c r="H32" s="47">
        <v>-100000</v>
      </c>
      <c r="I32" s="45">
        <v>-1382500</v>
      </c>
      <c r="J32" s="46">
        <v>-13.824999999999999</v>
      </c>
    </row>
    <row r="33" spans="1:11" s="55" customFormat="1" ht="16.05" customHeight="1" thickBot="1" x14ac:dyDescent="0.3">
      <c r="A33" s="2"/>
      <c r="B33" s="61" t="s">
        <v>27</v>
      </c>
      <c r="C33" s="67">
        <v>-825000</v>
      </c>
      <c r="D33" s="68">
        <v>-1647250</v>
      </c>
      <c r="E33" s="68">
        <v>822250</v>
      </c>
      <c r="F33" s="69">
        <v>0.4991652754590985</v>
      </c>
      <c r="G33" s="11"/>
      <c r="H33" s="67">
        <v>-507385</v>
      </c>
      <c r="I33" s="68">
        <v>-1139865</v>
      </c>
      <c r="J33" s="69">
        <v>-2.2465484789656771</v>
      </c>
      <c r="K33" s="54"/>
    </row>
    <row r="34" spans="1:11" ht="16.05" customHeight="1" x14ac:dyDescent="0.3">
      <c r="B34" s="66"/>
      <c r="C34" s="47"/>
      <c r="D34" s="45"/>
      <c r="E34" s="45"/>
      <c r="F34" s="46"/>
      <c r="H34" s="47"/>
      <c r="I34" s="45"/>
      <c r="J34" s="46"/>
    </row>
    <row r="35" spans="1:11" s="55" customFormat="1" ht="16.05" customHeight="1" x14ac:dyDescent="0.25">
      <c r="A35" s="2"/>
      <c r="B35" s="61" t="s">
        <v>28</v>
      </c>
      <c r="C35" s="65"/>
      <c r="D35" s="63"/>
      <c r="E35" s="63"/>
      <c r="F35" s="64"/>
      <c r="G35" s="11"/>
      <c r="H35" s="65"/>
      <c r="I35" s="63"/>
      <c r="J35" s="64"/>
      <c r="K35" s="54"/>
    </row>
    <row r="36" spans="1:11" ht="16.05" customHeight="1" x14ac:dyDescent="0.3">
      <c r="A36" s="1" t="s">
        <v>239</v>
      </c>
      <c r="B36" s="66" t="s">
        <v>372</v>
      </c>
      <c r="C36" s="47">
        <v>0</v>
      </c>
      <c r="D36" s="45">
        <v>0</v>
      </c>
      <c r="E36" s="45">
        <v>0</v>
      </c>
      <c r="F36" s="46">
        <v>0</v>
      </c>
      <c r="H36" s="47">
        <v>0</v>
      </c>
      <c r="I36" s="45">
        <v>0</v>
      </c>
      <c r="J36" s="46">
        <v>0</v>
      </c>
    </row>
    <row r="37" spans="1:11" ht="16.05" customHeight="1" x14ac:dyDescent="0.3">
      <c r="A37" s="1" t="s">
        <v>235</v>
      </c>
      <c r="B37" s="66" t="s">
        <v>39</v>
      </c>
      <c r="C37" s="47">
        <v>-701693</v>
      </c>
      <c r="D37" s="45">
        <v>321505</v>
      </c>
      <c r="E37" s="45">
        <v>-1023198</v>
      </c>
      <c r="F37" s="46">
        <v>-3.1825259327226636</v>
      </c>
      <c r="H37" s="47">
        <v>-473820</v>
      </c>
      <c r="I37" s="45">
        <v>795325</v>
      </c>
      <c r="J37" s="46">
        <v>1.6785382634755814</v>
      </c>
    </row>
    <row r="38" spans="1:11" ht="16.05" customHeight="1" x14ac:dyDescent="0.3">
      <c r="A38" s="1" t="s">
        <v>237</v>
      </c>
      <c r="B38" s="66" t="s">
        <v>40</v>
      </c>
      <c r="C38" s="47">
        <v>-61095</v>
      </c>
      <c r="D38" s="45">
        <v>-62974</v>
      </c>
      <c r="E38" s="45">
        <v>1879</v>
      </c>
      <c r="F38" s="46">
        <v>2.9837710801283068E-2</v>
      </c>
      <c r="H38" s="47">
        <v>-30106</v>
      </c>
      <c r="I38" s="45">
        <v>-32868</v>
      </c>
      <c r="J38" s="46">
        <v>-1.0917425097987112</v>
      </c>
    </row>
    <row r="39" spans="1:11" ht="16.05" customHeight="1" x14ac:dyDescent="0.3">
      <c r="A39" s="1" t="s">
        <v>228</v>
      </c>
      <c r="B39" s="66" t="s">
        <v>29</v>
      </c>
      <c r="C39" s="47">
        <v>-100000</v>
      </c>
      <c r="D39" s="45">
        <v>-75000</v>
      </c>
      <c r="E39" s="45">
        <v>-25000</v>
      </c>
      <c r="F39" s="46">
        <v>-0.33333333333333331</v>
      </c>
      <c r="H39" s="47">
        <v>0</v>
      </c>
      <c r="I39" s="45">
        <v>-75000</v>
      </c>
      <c r="J39" s="46">
        <v>-1</v>
      </c>
    </row>
    <row r="40" spans="1:11" s="55" customFormat="1" ht="16.05" customHeight="1" thickBot="1" x14ac:dyDescent="0.3">
      <c r="A40" s="2"/>
      <c r="B40" s="61" t="s">
        <v>30</v>
      </c>
      <c r="C40" s="67">
        <v>-862788</v>
      </c>
      <c r="D40" s="68">
        <v>183531</v>
      </c>
      <c r="E40" s="68">
        <v>-1046319</v>
      </c>
      <c r="F40" s="69">
        <v>-5.7010477793942167</v>
      </c>
      <c r="G40" s="11"/>
      <c r="H40" s="67">
        <v>-503926</v>
      </c>
      <c r="I40" s="68">
        <v>687457</v>
      </c>
      <c r="J40" s="69">
        <v>1.3642022836686338</v>
      </c>
      <c r="K40" s="54"/>
    </row>
    <row r="41" spans="1:11" ht="16.05" customHeight="1" x14ac:dyDescent="0.3">
      <c r="B41" s="66"/>
      <c r="C41" s="47"/>
      <c r="D41" s="45"/>
      <c r="E41" s="45"/>
      <c r="F41" s="46"/>
      <c r="H41" s="47"/>
      <c r="I41" s="45"/>
      <c r="J41" s="46"/>
    </row>
    <row r="42" spans="1:11" ht="16.05" customHeight="1" x14ac:dyDescent="0.3">
      <c r="B42" s="66" t="s">
        <v>87</v>
      </c>
      <c r="C42" s="47">
        <v>-67306</v>
      </c>
      <c r="D42" s="45">
        <v>206356</v>
      </c>
      <c r="E42" s="45">
        <v>-273662</v>
      </c>
      <c r="F42" s="46">
        <v>-1.3261644924305569</v>
      </c>
      <c r="H42" s="47">
        <v>95044</v>
      </c>
      <c r="I42" s="45">
        <v>111312</v>
      </c>
      <c r="J42" s="46">
        <v>1.1711628298472287</v>
      </c>
    </row>
    <row r="43" spans="1:11" ht="16.05" customHeight="1" x14ac:dyDescent="0.3">
      <c r="A43" s="1" t="s">
        <v>218</v>
      </c>
      <c r="B43" s="66" t="s">
        <v>85</v>
      </c>
      <c r="C43" s="47">
        <v>393980</v>
      </c>
      <c r="D43" s="45">
        <v>187624</v>
      </c>
      <c r="E43" s="45">
        <v>206356</v>
      </c>
      <c r="F43" s="46">
        <v>1.0998379738199804</v>
      </c>
      <c r="H43" s="47">
        <v>92580</v>
      </c>
      <c r="I43" s="45">
        <v>95044</v>
      </c>
      <c r="J43" s="46">
        <v>1.0266148196154676</v>
      </c>
    </row>
    <row r="44" spans="1:11" s="55" customFormat="1" ht="16.05" customHeight="1" thickBot="1" x14ac:dyDescent="0.35">
      <c r="A44" s="1"/>
      <c r="B44" s="70" t="s">
        <v>86</v>
      </c>
      <c r="C44" s="51">
        <v>326674</v>
      </c>
      <c r="D44" s="52">
        <v>393980</v>
      </c>
      <c r="E44" s="52">
        <v>-67306</v>
      </c>
      <c r="F44" s="53">
        <v>-0.170836083049901</v>
      </c>
      <c r="G44" s="11"/>
      <c r="H44" s="51">
        <v>187624</v>
      </c>
      <c r="I44" s="52">
        <v>206356</v>
      </c>
      <c r="J44" s="53">
        <v>1.0998379738199804</v>
      </c>
      <c r="K44" s="54"/>
    </row>
    <row r="45" spans="1:11" s="74" customFormat="1" ht="16.05" customHeight="1" thickTop="1" x14ac:dyDescent="0.3">
      <c r="A45" s="5"/>
      <c r="B45" s="71"/>
      <c r="C45" s="72" t="s">
        <v>523</v>
      </c>
      <c r="D45" s="72" t="s">
        <v>523</v>
      </c>
      <c r="E45" s="72"/>
      <c r="F45" s="73"/>
      <c r="H45" s="72" t="s">
        <v>523</v>
      </c>
      <c r="I45" s="72"/>
      <c r="J45" s="73"/>
      <c r="K45" s="75"/>
    </row>
    <row r="46" spans="1:11" s="81" customFormat="1" ht="16.05" customHeight="1" x14ac:dyDescent="0.3">
      <c r="A46" s="6"/>
      <c r="B46" s="77" t="s">
        <v>389</v>
      </c>
      <c r="C46" s="78" t="s">
        <v>519</v>
      </c>
      <c r="D46" s="78" t="s">
        <v>519</v>
      </c>
      <c r="E46" s="79"/>
      <c r="F46" s="80"/>
      <c r="H46" s="78" t="s">
        <v>519</v>
      </c>
      <c r="I46" s="79"/>
      <c r="J46" s="80"/>
      <c r="K46" s="82"/>
    </row>
  </sheetData>
  <sheetProtection algorithmName="SHA-512" hashValue="HoQD1aS1N9DmtRxCu/oPgDcflq35l9VArJa9WbJ1zQsT8fOBs81gjhLSJDZgo4dIHvJkLK7VKQBERz2KXSngvg==" saltValue="jwLK6TBbSgGyQlLDRom3rQ==" spinCount="100000" sheet="1" objects="1" scenarios="1"/>
  <conditionalFormatting sqref="C46:D46 H46">
    <cfRule type="containsText" dxfId="12" priority="1" stopIfTrue="1" operator="containsText" text="error!">
      <formula>NOT(ISERROR(SEARCH("error!",C46)))</formula>
    </cfRule>
  </conditionalFormatting>
  <pageMargins left="0.55118110236220474" right="0.55118110236220474" top="0.55118110236220474" bottom="0.55118110236220474" header="0.39370078740157483" footer="0.39370078740157483"/>
  <pageSetup paperSize="9" scale="71" fitToWidth="0" orientation="landscape" r:id="rId1"/>
  <headerFooter>
    <oddFooter>&amp;C&amp;"-,Regular"&amp;9Page &amp;P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K53"/>
  <sheetViews>
    <sheetView zoomScale="95" zoomScaleNormal="95" workbookViewId="0">
      <pane ySplit="4" topLeftCell="A5" activePane="bottomLeft" state="frozen"/>
      <selection activeCell="B4" sqref="B4"/>
      <selection pane="bottomLeft" activeCell="B4" sqref="B4"/>
    </sheetView>
  </sheetViews>
  <sheetFormatPr defaultColWidth="9.109375" defaultRowHeight="16.05" customHeight="1" x14ac:dyDescent="0.3"/>
  <cols>
    <col min="1" max="1" width="10.77734375" style="1" customWidth="1"/>
    <col min="2" max="2" width="45.77734375" style="24" customWidth="1"/>
    <col min="3" max="5" width="14.6640625" style="34" customWidth="1"/>
    <col min="6" max="6" width="12.6640625" style="35" customWidth="1"/>
    <col min="7" max="7" width="2.6640625" style="11" customWidth="1"/>
    <col min="8" max="9" width="14.6640625" style="34" customWidth="1"/>
    <col min="10" max="10" width="12.6640625" style="35" customWidth="1"/>
    <col min="11" max="11" width="2.6640625" style="25" customWidth="1"/>
    <col min="12" max="14" width="14.6640625" style="11" customWidth="1"/>
    <col min="15" max="15" width="2.6640625" style="11" customWidth="1"/>
    <col min="16" max="18" width="14.6640625" style="11" customWidth="1"/>
    <col min="19" max="19" width="2.6640625" style="11" customWidth="1"/>
    <col min="20" max="22" width="14.6640625" style="11" customWidth="1"/>
    <col min="23" max="23" width="2.6640625" style="11" customWidth="1"/>
    <col min="24" max="16384" width="9.109375" style="11"/>
  </cols>
  <sheetData>
    <row r="1" spans="1:11" ht="16.05" customHeight="1" x14ac:dyDescent="0.3">
      <c r="B1" s="7" t="s">
        <v>517</v>
      </c>
    </row>
    <row r="2" spans="1:11" s="39" customFormat="1" ht="16.05" customHeight="1" x14ac:dyDescent="0.25">
      <c r="A2" s="3"/>
      <c r="B2" s="36" t="s">
        <v>524</v>
      </c>
      <c r="C2" s="57"/>
      <c r="D2" s="57"/>
      <c r="E2" s="57"/>
      <c r="F2" s="58"/>
      <c r="G2" s="11"/>
      <c r="H2" s="57"/>
      <c r="I2" s="57"/>
      <c r="J2" s="58"/>
      <c r="K2" s="38"/>
    </row>
    <row r="3" spans="1:11" s="39" customFormat="1" ht="16.05" customHeight="1" x14ac:dyDescent="0.25">
      <c r="A3" s="3"/>
      <c r="B3" s="37" t="s">
        <v>518</v>
      </c>
      <c r="C3" s="11"/>
      <c r="D3" s="11"/>
      <c r="E3" s="11"/>
      <c r="F3" s="11"/>
      <c r="G3" s="11"/>
      <c r="H3" s="11"/>
      <c r="I3" s="11"/>
      <c r="J3" s="11"/>
      <c r="K3" s="38"/>
    </row>
    <row r="4" spans="1:11" s="30" customFormat="1" ht="18" customHeight="1" x14ac:dyDescent="0.3">
      <c r="A4" s="4"/>
      <c r="B4" s="40"/>
      <c r="C4" s="41">
        <v>2022</v>
      </c>
      <c r="D4" s="41">
        <v>2021</v>
      </c>
      <c r="E4" s="41" t="s">
        <v>55</v>
      </c>
      <c r="F4" s="41" t="s">
        <v>56</v>
      </c>
      <c r="G4" s="11"/>
      <c r="H4" s="41">
        <v>2020</v>
      </c>
      <c r="I4" s="41" t="s">
        <v>55</v>
      </c>
      <c r="J4" s="41" t="s">
        <v>56</v>
      </c>
      <c r="K4" s="42"/>
    </row>
    <row r="5" spans="1:11" s="55" customFormat="1" ht="16.05" customHeight="1" x14ac:dyDescent="0.25">
      <c r="A5" s="2"/>
      <c r="B5" s="84" t="s">
        <v>7</v>
      </c>
      <c r="C5" s="62"/>
      <c r="D5" s="63"/>
      <c r="E5" s="63"/>
      <c r="F5" s="64"/>
      <c r="G5" s="11"/>
      <c r="H5" s="65"/>
      <c r="I5" s="63"/>
      <c r="J5" s="64"/>
      <c r="K5" s="54"/>
    </row>
    <row r="6" spans="1:11" s="55" customFormat="1" ht="16.05" customHeight="1" x14ac:dyDescent="0.25">
      <c r="A6" s="2"/>
      <c r="B6" s="84" t="s">
        <v>13</v>
      </c>
      <c r="C6" s="65"/>
      <c r="D6" s="63"/>
      <c r="E6" s="63"/>
      <c r="F6" s="64"/>
      <c r="G6" s="11"/>
      <c r="H6" s="65"/>
      <c r="I6" s="63"/>
      <c r="J6" s="64"/>
      <c r="K6" s="54"/>
    </row>
    <row r="7" spans="1:11" ht="16.05" customHeight="1" x14ac:dyDescent="0.3">
      <c r="A7" s="1" t="s">
        <v>208</v>
      </c>
      <c r="B7" s="43" t="s">
        <v>209</v>
      </c>
      <c r="C7" s="47">
        <v>5179545</v>
      </c>
      <c r="D7" s="45">
        <v>4874545</v>
      </c>
      <c r="E7" s="45">
        <v>305000</v>
      </c>
      <c r="F7" s="46">
        <v>6.2569942425395597E-2</v>
      </c>
      <c r="H7" s="47">
        <v>4709795</v>
      </c>
      <c r="I7" s="45">
        <v>164750</v>
      </c>
      <c r="J7" s="46">
        <v>3.4980291074239965E-2</v>
      </c>
    </row>
    <row r="8" spans="1:11" ht="16.05" customHeight="1" x14ac:dyDescent="0.3">
      <c r="A8" s="1" t="s">
        <v>210</v>
      </c>
      <c r="B8" s="43" t="s">
        <v>211</v>
      </c>
      <c r="C8" s="47">
        <v>-1926248</v>
      </c>
      <c r="D8" s="45">
        <v>-1379718</v>
      </c>
      <c r="E8" s="45">
        <v>-546530</v>
      </c>
      <c r="F8" s="46">
        <v>-0.39611717756816972</v>
      </c>
      <c r="H8" s="47">
        <v>-929418</v>
      </c>
      <c r="I8" s="45">
        <v>-450300</v>
      </c>
      <c r="J8" s="46">
        <v>-0.48449674957876865</v>
      </c>
    </row>
    <row r="9" spans="1:11" ht="16.05" customHeight="1" x14ac:dyDescent="0.3">
      <c r="A9" s="1" t="s">
        <v>212</v>
      </c>
      <c r="B9" s="43" t="s">
        <v>213</v>
      </c>
      <c r="C9" s="47">
        <v>1040500</v>
      </c>
      <c r="D9" s="45">
        <v>1040500</v>
      </c>
      <c r="E9" s="45">
        <v>0</v>
      </c>
      <c r="F9" s="46">
        <v>0</v>
      </c>
      <c r="H9" s="47">
        <v>1040500</v>
      </c>
      <c r="I9" s="45">
        <v>0</v>
      </c>
      <c r="J9" s="46">
        <v>0</v>
      </c>
    </row>
    <row r="10" spans="1:11" ht="16.05" customHeight="1" x14ac:dyDescent="0.3">
      <c r="A10" s="1" t="s">
        <v>214</v>
      </c>
      <c r="B10" s="43" t="s">
        <v>215</v>
      </c>
      <c r="C10" s="47">
        <v>-416200</v>
      </c>
      <c r="D10" s="45">
        <v>-312150</v>
      </c>
      <c r="E10" s="45">
        <v>-104050</v>
      </c>
      <c r="F10" s="46">
        <v>-0.33333333333333331</v>
      </c>
      <c r="H10" s="47">
        <v>-208100</v>
      </c>
      <c r="I10" s="45">
        <v>-104050</v>
      </c>
      <c r="J10" s="46">
        <v>-0.5</v>
      </c>
    </row>
    <row r="11" spans="1:11" ht="16.05" customHeight="1" x14ac:dyDescent="0.3">
      <c r="A11" s="1" t="s">
        <v>367</v>
      </c>
      <c r="B11" s="43" t="s">
        <v>8</v>
      </c>
      <c r="C11" s="47">
        <v>2302500</v>
      </c>
      <c r="D11" s="45">
        <v>1782500</v>
      </c>
      <c r="E11" s="45">
        <v>520000</v>
      </c>
      <c r="F11" s="46">
        <v>0.29172510518934081</v>
      </c>
      <c r="H11" s="47">
        <v>300000</v>
      </c>
      <c r="I11" s="45">
        <v>1482500</v>
      </c>
      <c r="J11" s="46">
        <v>4.9416666666666664</v>
      </c>
    </row>
    <row r="12" spans="1:11" ht="16.05" customHeight="1" thickBot="1" x14ac:dyDescent="0.35">
      <c r="B12" s="211" t="s">
        <v>463</v>
      </c>
      <c r="C12" s="85">
        <v>6180097</v>
      </c>
      <c r="D12" s="86">
        <v>6005677</v>
      </c>
      <c r="E12" s="86">
        <v>174420</v>
      </c>
      <c r="F12" s="87">
        <v>2.9042520934775547E-2</v>
      </c>
      <c r="H12" s="85">
        <v>4912777</v>
      </c>
      <c r="I12" s="86">
        <v>1092900</v>
      </c>
      <c r="J12" s="87">
        <v>0.22246073860059187</v>
      </c>
    </row>
    <row r="13" spans="1:11" s="55" customFormat="1" ht="16.05" customHeight="1" x14ac:dyDescent="0.25">
      <c r="A13" s="2"/>
      <c r="B13" s="84" t="s">
        <v>14</v>
      </c>
      <c r="C13" s="65"/>
      <c r="D13" s="63"/>
      <c r="E13" s="63"/>
      <c r="F13" s="64"/>
      <c r="G13" s="11"/>
      <c r="H13" s="65"/>
      <c r="I13" s="63"/>
      <c r="J13" s="64"/>
      <c r="K13" s="54"/>
    </row>
    <row r="14" spans="1:11" ht="16.05" customHeight="1" x14ac:dyDescent="0.3">
      <c r="A14" s="1" t="s">
        <v>223</v>
      </c>
      <c r="B14" s="43" t="s">
        <v>80</v>
      </c>
      <c r="C14" s="47">
        <v>352913</v>
      </c>
      <c r="D14" s="45">
        <v>313745</v>
      </c>
      <c r="E14" s="45">
        <v>39168</v>
      </c>
      <c r="F14" s="46">
        <v>0.1248402364977928</v>
      </c>
      <c r="H14" s="47">
        <v>248196</v>
      </c>
      <c r="I14" s="45">
        <v>65549</v>
      </c>
      <c r="J14" s="46">
        <v>0.2641017582878048</v>
      </c>
    </row>
    <row r="15" spans="1:11" ht="16.05" customHeight="1" x14ac:dyDescent="0.3">
      <c r="A15" s="1" t="s">
        <v>220</v>
      </c>
      <c r="B15" s="43" t="s">
        <v>31</v>
      </c>
      <c r="C15" s="47">
        <v>568079</v>
      </c>
      <c r="D15" s="45">
        <v>495942</v>
      </c>
      <c r="E15" s="45">
        <v>72137</v>
      </c>
      <c r="F15" s="46">
        <v>0.14545450879336697</v>
      </c>
      <c r="H15" s="47">
        <v>456039</v>
      </c>
      <c r="I15" s="45">
        <v>39903</v>
      </c>
      <c r="J15" s="46">
        <v>8.7499095472097776E-2</v>
      </c>
    </row>
    <row r="16" spans="1:11" ht="16.05" customHeight="1" x14ac:dyDescent="0.3">
      <c r="A16" s="1" t="s">
        <v>216</v>
      </c>
      <c r="B16" s="43" t="s">
        <v>217</v>
      </c>
      <c r="C16" s="47">
        <v>60000</v>
      </c>
      <c r="D16" s="45">
        <v>48200</v>
      </c>
      <c r="E16" s="45">
        <v>11800</v>
      </c>
      <c r="F16" s="46">
        <v>0.24481327800829875</v>
      </c>
      <c r="H16" s="47">
        <v>30220</v>
      </c>
      <c r="I16" s="45">
        <v>17980</v>
      </c>
      <c r="J16" s="46">
        <v>0.59497021839841169</v>
      </c>
    </row>
    <row r="17" spans="1:11" ht="16.05" customHeight="1" x14ac:dyDescent="0.3">
      <c r="A17" s="1" t="s">
        <v>221</v>
      </c>
      <c r="B17" s="43" t="s">
        <v>222</v>
      </c>
      <c r="C17" s="47">
        <v>24000</v>
      </c>
      <c r="D17" s="45">
        <v>44500</v>
      </c>
      <c r="E17" s="45">
        <v>-20500</v>
      </c>
      <c r="F17" s="46">
        <v>-0.4606741573033708</v>
      </c>
      <c r="H17" s="47">
        <v>22600</v>
      </c>
      <c r="I17" s="45">
        <v>21900</v>
      </c>
      <c r="J17" s="46">
        <v>0.96902654867256632</v>
      </c>
    </row>
    <row r="18" spans="1:11" ht="16.05" customHeight="1" x14ac:dyDescent="0.3">
      <c r="A18" s="1" t="s">
        <v>218</v>
      </c>
      <c r="B18" s="43" t="s">
        <v>371</v>
      </c>
      <c r="C18" s="47">
        <v>326674</v>
      </c>
      <c r="D18" s="45">
        <v>393980</v>
      </c>
      <c r="E18" s="45">
        <v>-67306</v>
      </c>
      <c r="F18" s="46">
        <v>-0.170836083049901</v>
      </c>
      <c r="H18" s="47">
        <v>187624</v>
      </c>
      <c r="I18" s="45">
        <v>206356</v>
      </c>
      <c r="J18" s="46">
        <v>1.0998379738199804</v>
      </c>
    </row>
    <row r="19" spans="1:11" ht="16.05" customHeight="1" x14ac:dyDescent="0.3">
      <c r="A19" s="1" t="s">
        <v>219</v>
      </c>
      <c r="B19" s="43" t="s">
        <v>32</v>
      </c>
      <c r="C19" s="47">
        <v>1000</v>
      </c>
      <c r="D19" s="45">
        <v>990</v>
      </c>
      <c r="E19" s="45">
        <v>10</v>
      </c>
      <c r="F19" s="46">
        <v>1.0101010101010102E-2</v>
      </c>
      <c r="H19" s="47">
        <v>1000</v>
      </c>
      <c r="I19" s="45">
        <v>-10</v>
      </c>
      <c r="J19" s="46">
        <v>-0.01</v>
      </c>
    </row>
    <row r="20" spans="1:11" ht="16.05" customHeight="1" thickBot="1" x14ac:dyDescent="0.35">
      <c r="B20" s="211" t="s">
        <v>464</v>
      </c>
      <c r="C20" s="85">
        <v>1332666</v>
      </c>
      <c r="D20" s="86">
        <v>1297357</v>
      </c>
      <c r="E20" s="86">
        <v>35309</v>
      </c>
      <c r="F20" s="87">
        <v>2.7216101658988235E-2</v>
      </c>
      <c r="H20" s="85">
        <v>945679</v>
      </c>
      <c r="I20" s="86">
        <v>351678</v>
      </c>
      <c r="J20" s="87">
        <v>0.37187882992008914</v>
      </c>
    </row>
    <row r="21" spans="1:11" s="55" customFormat="1" ht="16.05" customHeight="1" thickBot="1" x14ac:dyDescent="0.3">
      <c r="A21" s="2"/>
      <c r="B21" s="84" t="s">
        <v>15</v>
      </c>
      <c r="C21" s="51">
        <v>7512763</v>
      </c>
      <c r="D21" s="52">
        <v>7303034</v>
      </c>
      <c r="E21" s="52">
        <v>209729</v>
      </c>
      <c r="F21" s="53">
        <v>2.8718064300398985E-2</v>
      </c>
      <c r="G21" s="11"/>
      <c r="H21" s="51">
        <v>5858456</v>
      </c>
      <c r="I21" s="52">
        <v>1444578</v>
      </c>
      <c r="J21" s="53">
        <v>0.24657998626259206</v>
      </c>
      <c r="K21" s="54"/>
    </row>
    <row r="22" spans="1:11" s="55" customFormat="1" ht="16.05" customHeight="1" thickTop="1" x14ac:dyDescent="0.25">
      <c r="A22" s="2"/>
      <c r="B22" s="84" t="s">
        <v>9</v>
      </c>
      <c r="C22" s="65"/>
      <c r="D22" s="63"/>
      <c r="E22" s="63"/>
      <c r="F22" s="64"/>
      <c r="G22" s="11"/>
      <c r="H22" s="65"/>
      <c r="I22" s="63"/>
      <c r="J22" s="64"/>
      <c r="K22" s="54"/>
    </row>
    <row r="23" spans="1:11" s="55" customFormat="1" ht="16.05" customHeight="1" x14ac:dyDescent="0.25">
      <c r="A23" s="2"/>
      <c r="B23" s="84" t="s">
        <v>10</v>
      </c>
      <c r="C23" s="65"/>
      <c r="D23" s="63"/>
      <c r="E23" s="63"/>
      <c r="F23" s="64"/>
      <c r="G23" s="11"/>
      <c r="H23" s="65"/>
      <c r="I23" s="63"/>
      <c r="J23" s="64"/>
      <c r="K23" s="54"/>
    </row>
    <row r="24" spans="1:11" ht="16.05" customHeight="1" x14ac:dyDescent="0.3">
      <c r="A24" s="1" t="s">
        <v>239</v>
      </c>
      <c r="B24" s="43" t="s">
        <v>372</v>
      </c>
      <c r="C24" s="47">
        <v>1000</v>
      </c>
      <c r="D24" s="45">
        <v>1000</v>
      </c>
      <c r="E24" s="45">
        <v>0</v>
      </c>
      <c r="F24" s="46">
        <v>0</v>
      </c>
      <c r="H24" s="47">
        <v>1000</v>
      </c>
      <c r="I24" s="45">
        <v>0</v>
      </c>
      <c r="J24" s="46">
        <v>0</v>
      </c>
    </row>
    <row r="25" spans="1:11" ht="16.05" customHeight="1" x14ac:dyDescent="0.3">
      <c r="A25" s="1" t="s">
        <v>238</v>
      </c>
      <c r="B25" s="43" t="s">
        <v>298</v>
      </c>
      <c r="C25" s="47">
        <v>0</v>
      </c>
      <c r="D25" s="45">
        <v>0</v>
      </c>
      <c r="E25" s="45">
        <v>0</v>
      </c>
      <c r="F25" s="46">
        <v>0</v>
      </c>
      <c r="H25" s="47">
        <v>0</v>
      </c>
      <c r="I25" s="45">
        <v>0</v>
      </c>
      <c r="J25" s="46">
        <v>0</v>
      </c>
    </row>
    <row r="26" spans="1:11" ht="16.05" customHeight="1" x14ac:dyDescent="0.3">
      <c r="A26" s="1" t="s">
        <v>240</v>
      </c>
      <c r="B26" s="43" t="s">
        <v>12</v>
      </c>
      <c r="C26" s="47">
        <v>5223874</v>
      </c>
      <c r="D26" s="45">
        <v>4339805</v>
      </c>
      <c r="E26" s="45">
        <v>884069</v>
      </c>
      <c r="F26" s="46">
        <v>0.20371168750669674</v>
      </c>
      <c r="H26" s="47">
        <v>3335138</v>
      </c>
      <c r="I26" s="45">
        <v>1004667</v>
      </c>
      <c r="J26" s="46">
        <v>0.301237010282633</v>
      </c>
    </row>
    <row r="27" spans="1:11" ht="16.05" customHeight="1" thickBot="1" x14ac:dyDescent="0.35">
      <c r="B27" s="211" t="s">
        <v>465</v>
      </c>
      <c r="C27" s="85">
        <v>5224874</v>
      </c>
      <c r="D27" s="86">
        <v>4340805</v>
      </c>
      <c r="E27" s="86">
        <v>884069</v>
      </c>
      <c r="F27" s="87">
        <v>0.20366475803451203</v>
      </c>
      <c r="H27" s="85">
        <v>3336138</v>
      </c>
      <c r="I27" s="86">
        <v>1004667</v>
      </c>
      <c r="J27" s="87">
        <v>0.30114671515386954</v>
      </c>
    </row>
    <row r="28" spans="1:11" s="55" customFormat="1" ht="16.05" customHeight="1" x14ac:dyDescent="0.25">
      <c r="A28" s="2"/>
      <c r="B28" s="84" t="s">
        <v>11</v>
      </c>
      <c r="C28" s="65"/>
      <c r="D28" s="63"/>
      <c r="E28" s="63"/>
      <c r="F28" s="64"/>
      <c r="G28" s="11"/>
      <c r="H28" s="65"/>
      <c r="I28" s="63"/>
      <c r="J28" s="64"/>
      <c r="K28" s="54"/>
    </row>
    <row r="29" spans="1:11" ht="16.05" customHeight="1" x14ac:dyDescent="0.3">
      <c r="A29" s="1" t="s">
        <v>235</v>
      </c>
      <c r="B29" s="43" t="s">
        <v>39</v>
      </c>
      <c r="C29" s="47">
        <v>1265992</v>
      </c>
      <c r="D29" s="45">
        <v>1967685</v>
      </c>
      <c r="E29" s="45">
        <v>-701693</v>
      </c>
      <c r="F29" s="46">
        <v>-0.35660840022666229</v>
      </c>
      <c r="H29" s="47">
        <v>1646180</v>
      </c>
      <c r="I29" s="45">
        <v>321505</v>
      </c>
      <c r="J29" s="46">
        <v>0.19530367274538629</v>
      </c>
    </row>
    <row r="30" spans="1:11" ht="16.05" customHeight="1" x14ac:dyDescent="0.3">
      <c r="A30" s="1" t="s">
        <v>237</v>
      </c>
      <c r="B30" s="43" t="s">
        <v>40</v>
      </c>
      <c r="C30" s="47">
        <v>85325</v>
      </c>
      <c r="D30" s="45">
        <v>146420</v>
      </c>
      <c r="E30" s="45">
        <v>-61095</v>
      </c>
      <c r="F30" s="46">
        <v>-0.41725857123343807</v>
      </c>
      <c r="H30" s="47">
        <v>209394</v>
      </c>
      <c r="I30" s="45">
        <v>-62974</v>
      </c>
      <c r="J30" s="46">
        <v>-0.30074405188305298</v>
      </c>
    </row>
    <row r="31" spans="1:11" ht="16.05" customHeight="1" x14ac:dyDescent="0.3">
      <c r="A31" s="1" t="s">
        <v>236</v>
      </c>
      <c r="B31" s="43" t="s">
        <v>45</v>
      </c>
      <c r="C31" s="47">
        <v>-33790</v>
      </c>
      <c r="D31" s="45">
        <v>17377</v>
      </c>
      <c r="E31" s="45">
        <v>-51167</v>
      </c>
      <c r="F31" s="46">
        <v>-2.9445243712953904</v>
      </c>
      <c r="H31" s="47">
        <v>-47278</v>
      </c>
      <c r="I31" s="45">
        <v>64655</v>
      </c>
      <c r="J31" s="46">
        <v>1.3675493887220271</v>
      </c>
    </row>
    <row r="32" spans="1:11" ht="16.05" customHeight="1" thickBot="1" x14ac:dyDescent="0.35">
      <c r="B32" s="211" t="s">
        <v>466</v>
      </c>
      <c r="C32" s="85">
        <v>1317527</v>
      </c>
      <c r="D32" s="86">
        <v>2131482</v>
      </c>
      <c r="E32" s="86">
        <v>-813955</v>
      </c>
      <c r="F32" s="87">
        <v>-0.3818728002394578</v>
      </c>
      <c r="H32" s="85">
        <v>1808296</v>
      </c>
      <c r="I32" s="86">
        <v>323186</v>
      </c>
      <c r="J32" s="87">
        <v>0.17872405845060765</v>
      </c>
    </row>
    <row r="33" spans="1:11" s="55" customFormat="1" ht="16.05" customHeight="1" x14ac:dyDescent="0.25">
      <c r="A33" s="2"/>
      <c r="B33" s="84" t="s">
        <v>16</v>
      </c>
      <c r="C33" s="65"/>
      <c r="D33" s="63"/>
      <c r="E33" s="63"/>
      <c r="F33" s="64"/>
      <c r="G33" s="11"/>
      <c r="H33" s="65"/>
      <c r="I33" s="63"/>
      <c r="J33" s="64"/>
      <c r="K33" s="54"/>
    </row>
    <row r="34" spans="1:11" ht="16.05" customHeight="1" x14ac:dyDescent="0.3">
      <c r="A34" s="1" t="s">
        <v>224</v>
      </c>
      <c r="B34" s="43" t="s">
        <v>17</v>
      </c>
      <c r="C34" s="47">
        <v>0</v>
      </c>
      <c r="D34" s="45">
        <v>0</v>
      </c>
      <c r="E34" s="45">
        <v>0</v>
      </c>
      <c r="F34" s="46">
        <v>0</v>
      </c>
      <c r="H34" s="47">
        <v>0</v>
      </c>
      <c r="I34" s="45">
        <v>0</v>
      </c>
      <c r="J34" s="46">
        <v>0</v>
      </c>
    </row>
    <row r="35" spans="1:11" ht="16.05" customHeight="1" x14ac:dyDescent="0.3">
      <c r="A35" s="1" t="s">
        <v>225</v>
      </c>
      <c r="B35" s="43" t="s">
        <v>226</v>
      </c>
      <c r="C35" s="47">
        <v>186802</v>
      </c>
      <c r="D35" s="45">
        <v>219900</v>
      </c>
      <c r="E35" s="45">
        <v>-33098</v>
      </c>
      <c r="F35" s="46">
        <v>-0.15051386994088223</v>
      </c>
      <c r="H35" s="47">
        <v>166325</v>
      </c>
      <c r="I35" s="45">
        <v>53575</v>
      </c>
      <c r="J35" s="46">
        <v>0.32211032616864571</v>
      </c>
    </row>
    <row r="36" spans="1:11" ht="16.05" customHeight="1" x14ac:dyDescent="0.3">
      <c r="A36" s="1" t="s">
        <v>227</v>
      </c>
      <c r="B36" s="43" t="s">
        <v>121</v>
      </c>
      <c r="C36" s="47">
        <v>110937</v>
      </c>
      <c r="D36" s="45">
        <v>86520</v>
      </c>
      <c r="E36" s="45">
        <v>24417</v>
      </c>
      <c r="F36" s="46">
        <v>0.28221220527045771</v>
      </c>
      <c r="H36" s="47">
        <v>71708</v>
      </c>
      <c r="I36" s="45">
        <v>14812</v>
      </c>
      <c r="J36" s="46">
        <v>0.20655993752440452</v>
      </c>
    </row>
    <row r="37" spans="1:11" ht="16.05" customHeight="1" x14ac:dyDescent="0.3">
      <c r="A37" s="1" t="s">
        <v>233</v>
      </c>
      <c r="B37" s="43" t="s">
        <v>234</v>
      </c>
      <c r="C37" s="47">
        <v>75891</v>
      </c>
      <c r="D37" s="45">
        <v>59835</v>
      </c>
      <c r="E37" s="45">
        <v>16056</v>
      </c>
      <c r="F37" s="46">
        <v>0.26833792930559036</v>
      </c>
      <c r="H37" s="47">
        <v>55891</v>
      </c>
      <c r="I37" s="45">
        <v>3944</v>
      </c>
      <c r="J37" s="46">
        <v>7.0565922957184515E-2</v>
      </c>
    </row>
    <row r="38" spans="1:11" ht="16.05" customHeight="1" x14ac:dyDescent="0.3">
      <c r="A38" s="1" t="s">
        <v>231</v>
      </c>
      <c r="B38" s="43" t="s">
        <v>232</v>
      </c>
      <c r="C38" s="47">
        <v>214823</v>
      </c>
      <c r="D38" s="45">
        <v>214870</v>
      </c>
      <c r="E38" s="45">
        <v>-47</v>
      </c>
      <c r="F38" s="46">
        <v>-2.1873691069018475E-4</v>
      </c>
      <c r="H38" s="47">
        <v>211637</v>
      </c>
      <c r="I38" s="45">
        <v>3233</v>
      </c>
      <c r="J38" s="46">
        <v>1.5276156815679677E-2</v>
      </c>
    </row>
    <row r="39" spans="1:11" ht="16.05" customHeight="1" x14ac:dyDescent="0.3">
      <c r="A39" s="1" t="s">
        <v>228</v>
      </c>
      <c r="B39" s="43" t="s">
        <v>42</v>
      </c>
      <c r="C39" s="47">
        <v>150000</v>
      </c>
      <c r="D39" s="45">
        <v>100000</v>
      </c>
      <c r="E39" s="45">
        <v>50000</v>
      </c>
      <c r="F39" s="46">
        <v>0.5</v>
      </c>
      <c r="H39" s="47">
        <v>75000</v>
      </c>
      <c r="I39" s="45">
        <v>25000</v>
      </c>
      <c r="J39" s="46">
        <v>0.33333333333333331</v>
      </c>
    </row>
    <row r="40" spans="1:11" ht="16.05" customHeight="1" x14ac:dyDescent="0.3">
      <c r="A40" s="1" t="s">
        <v>229</v>
      </c>
      <c r="B40" s="43" t="s">
        <v>230</v>
      </c>
      <c r="C40" s="47">
        <v>215724</v>
      </c>
      <c r="D40" s="45">
        <v>131926</v>
      </c>
      <c r="E40" s="45">
        <v>83798</v>
      </c>
      <c r="F40" s="46">
        <v>0.63518942437427039</v>
      </c>
      <c r="H40" s="47">
        <v>118400</v>
      </c>
      <c r="I40" s="45">
        <v>13526</v>
      </c>
      <c r="J40" s="46">
        <v>0.11423986486486487</v>
      </c>
    </row>
    <row r="41" spans="1:11" ht="16.05" customHeight="1" x14ac:dyDescent="0.3">
      <c r="A41" s="1" t="s">
        <v>369</v>
      </c>
      <c r="B41" s="43" t="s">
        <v>18</v>
      </c>
      <c r="C41" s="47">
        <v>16185</v>
      </c>
      <c r="D41" s="45">
        <v>17696</v>
      </c>
      <c r="E41" s="45">
        <v>-1511</v>
      </c>
      <c r="F41" s="46">
        <v>-8.5386528028933095E-2</v>
      </c>
      <c r="H41" s="47">
        <v>15061</v>
      </c>
      <c r="I41" s="45">
        <v>2635</v>
      </c>
      <c r="J41" s="46">
        <v>0.17495518225881415</v>
      </c>
    </row>
    <row r="42" spans="1:11" ht="16.05" customHeight="1" thickBot="1" x14ac:dyDescent="0.35">
      <c r="B42" s="211" t="s">
        <v>467</v>
      </c>
      <c r="C42" s="85">
        <v>970362</v>
      </c>
      <c r="D42" s="86">
        <v>830747</v>
      </c>
      <c r="E42" s="86">
        <v>139615</v>
      </c>
      <c r="F42" s="87">
        <v>0.16805958974272553</v>
      </c>
      <c r="H42" s="85">
        <v>714022</v>
      </c>
      <c r="I42" s="86">
        <v>116725</v>
      </c>
      <c r="J42" s="87">
        <v>0.16347535510110334</v>
      </c>
    </row>
    <row r="43" spans="1:11" s="55" customFormat="1" ht="16.05" customHeight="1" thickBot="1" x14ac:dyDescent="0.3">
      <c r="A43" s="2"/>
      <c r="B43" s="84" t="s">
        <v>19</v>
      </c>
      <c r="C43" s="67">
        <v>2287889</v>
      </c>
      <c r="D43" s="68">
        <v>2962229</v>
      </c>
      <c r="E43" s="68">
        <v>-674340</v>
      </c>
      <c r="F43" s="69">
        <v>-0.22764614079465159</v>
      </c>
      <c r="G43" s="11"/>
      <c r="H43" s="67">
        <v>2522318</v>
      </c>
      <c r="I43" s="68">
        <v>439911</v>
      </c>
      <c r="J43" s="69">
        <v>0.17440742999098449</v>
      </c>
      <c r="K43" s="54"/>
    </row>
    <row r="44" spans="1:11" s="55" customFormat="1" ht="16.05" customHeight="1" thickBot="1" x14ac:dyDescent="0.3">
      <c r="A44" s="2"/>
      <c r="B44" s="50" t="s">
        <v>20</v>
      </c>
      <c r="C44" s="51">
        <v>7512763</v>
      </c>
      <c r="D44" s="52">
        <v>7303034</v>
      </c>
      <c r="E44" s="52">
        <v>209729</v>
      </c>
      <c r="F44" s="53">
        <v>2.8718064300398985E-2</v>
      </c>
      <c r="G44" s="11"/>
      <c r="H44" s="51">
        <v>5858456</v>
      </c>
      <c r="I44" s="52">
        <v>1444578</v>
      </c>
      <c r="J44" s="53">
        <v>0.24657998626259206</v>
      </c>
      <c r="K44" s="54"/>
    </row>
    <row r="45" spans="1:11" s="240" customFormat="1" ht="16.05" customHeight="1" thickTop="1" x14ac:dyDescent="0.3">
      <c r="A45" s="91"/>
      <c r="B45" s="239"/>
      <c r="C45" s="107"/>
      <c r="D45" s="107"/>
      <c r="E45" s="107"/>
      <c r="F45" s="135"/>
      <c r="H45" s="107"/>
      <c r="I45" s="107"/>
      <c r="J45" s="135"/>
      <c r="K45" s="94"/>
    </row>
    <row r="46" spans="1:11" s="240" customFormat="1" ht="16.05" customHeight="1" x14ac:dyDescent="0.3">
      <c r="A46" s="91"/>
      <c r="B46" s="239" t="s">
        <v>477</v>
      </c>
      <c r="C46" s="247">
        <v>1.3733699382292381</v>
      </c>
      <c r="D46" s="247">
        <v>1.5616752151978881</v>
      </c>
      <c r="E46" s="247">
        <v>-0.18830527696864996</v>
      </c>
      <c r="F46" s="249">
        <v>-0.12057902637891887</v>
      </c>
      <c r="G46" s="248"/>
      <c r="H46" s="247">
        <v>1.3244395830940783</v>
      </c>
      <c r="I46" s="247">
        <v>0.23723563210380982</v>
      </c>
      <c r="J46" s="249">
        <v>0.17912152062806355</v>
      </c>
      <c r="K46" s="94"/>
    </row>
    <row r="47" spans="1:11" s="240" customFormat="1" ht="16.05" customHeight="1" x14ac:dyDescent="0.3">
      <c r="A47" s="91"/>
      <c r="B47" s="239" t="s">
        <v>478</v>
      </c>
      <c r="C47" s="247">
        <v>1.0096778315721349</v>
      </c>
      <c r="D47" s="247">
        <v>1.1840090906136285</v>
      </c>
      <c r="E47" s="247">
        <v>-0.1743312590414936</v>
      </c>
      <c r="F47" s="249">
        <v>-0.14723810857832528</v>
      </c>
      <c r="G47" s="248"/>
      <c r="H47" s="247">
        <v>0.97683684816434224</v>
      </c>
      <c r="I47" s="247">
        <v>0.20717224244928623</v>
      </c>
      <c r="J47" s="249">
        <v>0.21208479475216493</v>
      </c>
      <c r="K47" s="94"/>
    </row>
    <row r="48" spans="1:11" s="240" customFormat="1" ht="16.05" customHeight="1" x14ac:dyDescent="0.3">
      <c r="A48" s="91"/>
      <c r="B48" s="239" t="s">
        <v>479</v>
      </c>
      <c r="C48" s="247">
        <v>44.702374569462883</v>
      </c>
      <c r="D48" s="247">
        <v>40.851280864021369</v>
      </c>
      <c r="E48" s="247">
        <v>3.8510937054415137</v>
      </c>
      <c r="F48" s="249">
        <v>9.4271063819525366E-2</v>
      </c>
      <c r="G48" s="248"/>
      <c r="H48" s="247">
        <v>34.898348106164065</v>
      </c>
      <c r="I48" s="247">
        <v>5.9529327578573046</v>
      </c>
      <c r="J48" s="249">
        <v>0.17057921308332194</v>
      </c>
      <c r="K48" s="94"/>
    </row>
    <row r="49" spans="1:11" s="240" customFormat="1" ht="16.05" customHeight="1" x14ac:dyDescent="0.3">
      <c r="A49" s="91"/>
      <c r="B49" s="239" t="s">
        <v>480</v>
      </c>
      <c r="C49" s="247">
        <v>30.000020979153522</v>
      </c>
      <c r="D49" s="247">
        <v>28.999961070400577</v>
      </c>
      <c r="E49" s="247">
        <v>1.0000599087529451</v>
      </c>
      <c r="F49" s="249">
        <v>3.4484870732246514E-2</v>
      </c>
      <c r="G49" s="248"/>
      <c r="H49" s="247">
        <v>31.999992886935338</v>
      </c>
      <c r="I49" s="247">
        <v>-3.0000318165347615</v>
      </c>
      <c r="J49" s="249">
        <v>-9.3751015105993568E-2</v>
      </c>
      <c r="K49" s="94"/>
    </row>
    <row r="50" spans="1:11" s="240" customFormat="1" ht="16.05" customHeight="1" x14ac:dyDescent="0.3">
      <c r="A50" s="91"/>
      <c r="B50" s="239" t="s">
        <v>481</v>
      </c>
      <c r="C50" s="247">
        <v>20.469806514415261</v>
      </c>
      <c r="D50" s="247">
        <v>23.798092421284451</v>
      </c>
      <c r="E50" s="247">
        <v>-3.3282859068691906</v>
      </c>
      <c r="F50" s="249">
        <v>-0.13985515510866955</v>
      </c>
      <c r="G50" s="248"/>
      <c r="H50" s="247">
        <v>20.68934892713439</v>
      </c>
      <c r="I50" s="247">
        <v>3.1087434941500618</v>
      </c>
      <c r="J50" s="249">
        <v>0.15025815965010375</v>
      </c>
      <c r="K50" s="94"/>
    </row>
    <row r="51" spans="1:11" s="240" customFormat="1" ht="16.05" customHeight="1" x14ac:dyDescent="0.3">
      <c r="A51" s="91"/>
      <c r="B51" s="239" t="s">
        <v>482</v>
      </c>
      <c r="C51" s="247">
        <v>0.43788405232355843</v>
      </c>
      <c r="D51" s="247">
        <v>0.68241466732553069</v>
      </c>
      <c r="E51" s="247">
        <v>-0.24453061500197226</v>
      </c>
      <c r="F51" s="249">
        <v>-0.35833141740683661</v>
      </c>
      <c r="G51" s="248"/>
      <c r="H51" s="247">
        <v>0.75605925174558131</v>
      </c>
      <c r="I51" s="247">
        <v>-7.3644584420050618E-2</v>
      </c>
      <c r="J51" s="249">
        <v>-9.740583724095804E-2</v>
      </c>
      <c r="K51" s="94"/>
    </row>
    <row r="52" spans="1:11" s="245" customFormat="1" ht="16.05" customHeight="1" x14ac:dyDescent="0.3">
      <c r="A52" s="241"/>
      <c r="B52" s="242"/>
      <c r="C52" s="243" t="s">
        <v>523</v>
      </c>
      <c r="D52" s="243" t="s">
        <v>523</v>
      </c>
      <c r="E52" s="243"/>
      <c r="F52" s="244"/>
      <c r="H52" s="243" t="s">
        <v>523</v>
      </c>
      <c r="I52" s="243"/>
      <c r="J52" s="244"/>
      <c r="K52" s="246"/>
    </row>
    <row r="53" spans="1:11" s="81" customFormat="1" ht="16.05" customHeight="1" x14ac:dyDescent="0.3">
      <c r="A53" s="6"/>
      <c r="B53" s="76" t="s">
        <v>390</v>
      </c>
      <c r="C53" s="78" t="s">
        <v>519</v>
      </c>
      <c r="D53" s="78" t="s">
        <v>519</v>
      </c>
      <c r="E53" s="79"/>
      <c r="F53" s="80"/>
      <c r="H53" s="78" t="s">
        <v>519</v>
      </c>
      <c r="I53" s="79"/>
      <c r="J53" s="80"/>
      <c r="K53" s="82"/>
    </row>
  </sheetData>
  <sheetProtection algorithmName="SHA-512" hashValue="76I44EYc6+qL9MpMdiLxqGQJ2XwLLf1g8U9TwB8z17ntNeNzKxeHpMhLYbXfs+PDiFr6IJ1MSy9tqzAXZwyN5w==" saltValue="Iw5tu3TMqKaWzlcEHCfDFg==" spinCount="100000" sheet="1" objects="1" scenarios="1"/>
  <conditionalFormatting sqref="D21">
    <cfRule type="expression" dxfId="11" priority="9" stopIfTrue="1">
      <formula>ROUND(D21-D44,0)&lt;&gt;0</formula>
    </cfRule>
  </conditionalFormatting>
  <conditionalFormatting sqref="C44:D44 H44">
    <cfRule type="expression" dxfId="10" priority="8" stopIfTrue="1">
      <formula>ROUND(C21-C44,0)&lt;&gt;0</formula>
    </cfRule>
  </conditionalFormatting>
  <conditionalFormatting sqref="C21">
    <cfRule type="expression" dxfId="9" priority="7" stopIfTrue="1">
      <formula>ROUND(C21-C44,0)&lt;&gt;0</formula>
    </cfRule>
  </conditionalFormatting>
  <conditionalFormatting sqref="H21">
    <cfRule type="expression" dxfId="8" priority="5" stopIfTrue="1">
      <formula>ROUND(H21-H44,0)&lt;&gt;0</formula>
    </cfRule>
  </conditionalFormatting>
  <conditionalFormatting sqref="C53:D53 H53">
    <cfRule type="containsText" dxfId="7" priority="1" stopIfTrue="1" operator="containsText" text="error!">
      <formula>NOT(ISERROR(SEARCH("error!",C53)))</formula>
    </cfRule>
  </conditionalFormatting>
  <pageMargins left="0.55118110236220474" right="0.55118110236220474" top="0.55118110236220474" bottom="0.55118110236220474" header="0.39370078740157483" footer="0.39370078740157483"/>
  <pageSetup paperSize="9" scale="59" fitToWidth="0" orientation="landscape" r:id="rId1"/>
  <headerFooter>
    <oddFooter>&amp;C&amp;"-,Regular"&amp;9Page &amp;P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10E95-CEE2-4ED1-84BC-BCF730D697B2}">
  <sheetPr>
    <pageSetUpPr fitToPage="1"/>
  </sheetPr>
  <dimension ref="A1:M150"/>
  <sheetViews>
    <sheetView showGridLines="0" zoomScale="90" zoomScaleNormal="90" workbookViewId="0">
      <selection activeCell="B2" sqref="B2:B5"/>
    </sheetView>
  </sheetViews>
  <sheetFormatPr defaultColWidth="9.109375" defaultRowHeight="23.4" customHeight="1" x14ac:dyDescent="0.3"/>
  <cols>
    <col min="1" max="1" width="5.77734375" style="147" customWidth="1"/>
    <col min="2" max="2" width="34.77734375" style="147" customWidth="1"/>
    <col min="3" max="6" width="17.77734375" style="147" customWidth="1"/>
    <col min="7" max="7" width="34.77734375" style="147" customWidth="1"/>
    <col min="8" max="8" width="3.77734375" style="160" customWidth="1"/>
    <col min="9" max="9" width="14.77734375" style="161" customWidth="1"/>
    <col min="10" max="10" width="3.77734375" style="160" customWidth="1"/>
    <col min="11" max="11" width="14.77734375" style="161" customWidth="1"/>
    <col min="12" max="12" width="5.77734375" style="147" customWidth="1"/>
    <col min="13" max="15" width="13.6640625" style="147" customWidth="1"/>
    <col min="16" max="16" width="10.6640625" style="147" customWidth="1"/>
    <col min="17" max="16384" width="9.109375" style="147"/>
  </cols>
  <sheetData>
    <row r="1" spans="1:12" ht="23.4" customHeight="1" thickBot="1" x14ac:dyDescent="0.35">
      <c r="A1" s="144"/>
      <c r="B1" s="144"/>
      <c r="C1" s="144"/>
      <c r="D1" s="144"/>
      <c r="E1" s="144"/>
      <c r="F1" s="144"/>
      <c r="G1" s="144"/>
      <c r="H1" s="145"/>
      <c r="I1" s="146"/>
      <c r="J1" s="145"/>
      <c r="K1" s="146"/>
      <c r="L1" s="144"/>
    </row>
    <row r="2" spans="1:12" ht="23.4" customHeight="1" thickTop="1" x14ac:dyDescent="0.25">
      <c r="A2" s="144"/>
      <c r="B2" s="309" t="s">
        <v>507</v>
      </c>
      <c r="C2" s="303" t="s">
        <v>517</v>
      </c>
      <c r="D2" s="304"/>
      <c r="E2" s="304"/>
      <c r="F2" s="305"/>
      <c r="G2" s="284" t="s">
        <v>508</v>
      </c>
      <c r="H2" s="316"/>
      <c r="I2" s="316"/>
      <c r="J2" s="316"/>
      <c r="K2" s="316"/>
      <c r="L2" s="144"/>
    </row>
    <row r="3" spans="1:12" ht="23.4" customHeight="1" thickBot="1" x14ac:dyDescent="0.3">
      <c r="A3" s="144"/>
      <c r="B3" s="310"/>
      <c r="C3" s="306"/>
      <c r="D3" s="307"/>
      <c r="E3" s="307"/>
      <c r="F3" s="308"/>
      <c r="G3" s="284"/>
      <c r="H3" s="316"/>
      <c r="I3" s="316"/>
      <c r="J3" s="316"/>
      <c r="K3" s="316"/>
      <c r="L3" s="144"/>
    </row>
    <row r="4" spans="1:12" ht="23.4" customHeight="1" thickTop="1" x14ac:dyDescent="0.3">
      <c r="A4" s="144"/>
      <c r="B4" s="310"/>
      <c r="C4" s="274" t="s">
        <v>525</v>
      </c>
      <c r="D4" s="312"/>
      <c r="E4" s="312"/>
      <c r="F4" s="275"/>
      <c r="G4" s="148"/>
      <c r="H4" s="149"/>
      <c r="I4" s="193">
        <v>2022</v>
      </c>
      <c r="J4" s="150"/>
      <c r="K4" s="193">
        <v>2021</v>
      </c>
      <c r="L4" s="144"/>
    </row>
    <row r="5" spans="1:12" ht="23.4" customHeight="1" thickBot="1" x14ac:dyDescent="0.35">
      <c r="A5" s="144"/>
      <c r="B5" s="311"/>
      <c r="C5" s="313"/>
      <c r="D5" s="314"/>
      <c r="E5" s="314"/>
      <c r="F5" s="315"/>
      <c r="G5" s="151" t="s">
        <v>161</v>
      </c>
      <c r="H5" s="152" t="s">
        <v>443</v>
      </c>
      <c r="I5" s="153">
        <v>0.10727043111086974</v>
      </c>
      <c r="J5" s="152" t="s">
        <v>443</v>
      </c>
      <c r="K5" s="153">
        <v>0.20000034604098355</v>
      </c>
      <c r="L5" s="144"/>
    </row>
    <row r="6" spans="1:12" ht="23.4" customHeight="1" thickTop="1" x14ac:dyDescent="0.3">
      <c r="A6" s="144"/>
      <c r="B6" s="287"/>
      <c r="C6" s="287"/>
      <c r="D6" s="301"/>
      <c r="E6" s="317"/>
      <c r="F6" s="318"/>
      <c r="G6" s="151" t="s">
        <v>43</v>
      </c>
      <c r="H6" s="152" t="s">
        <v>443</v>
      </c>
      <c r="I6" s="153">
        <v>0.1719435973238129</v>
      </c>
      <c r="J6" s="152" t="s">
        <v>443</v>
      </c>
      <c r="K6" s="153">
        <v>0.31964746700375735</v>
      </c>
      <c r="L6" s="144"/>
    </row>
    <row r="7" spans="1:12" ht="23.4" customHeight="1" x14ac:dyDescent="0.3">
      <c r="A7" s="144"/>
      <c r="B7" s="321"/>
      <c r="C7" s="321"/>
      <c r="D7" s="302"/>
      <c r="E7" s="319"/>
      <c r="F7" s="320"/>
      <c r="G7" s="151" t="s">
        <v>164</v>
      </c>
      <c r="H7" s="152" t="s">
        <v>443</v>
      </c>
      <c r="I7" s="153">
        <v>0.28002368684847323</v>
      </c>
      <c r="J7" s="152" t="s">
        <v>443</v>
      </c>
      <c r="K7" s="153">
        <v>0.18267568531679609</v>
      </c>
      <c r="L7" s="144"/>
    </row>
    <row r="8" spans="1:12" ht="23.4" customHeight="1" x14ac:dyDescent="0.3">
      <c r="A8" s="144"/>
      <c r="B8" s="321"/>
      <c r="C8" s="321"/>
      <c r="D8" s="302"/>
      <c r="E8" s="319"/>
      <c r="F8" s="320"/>
      <c r="G8" s="151" t="s">
        <v>25</v>
      </c>
      <c r="H8" s="152" t="s">
        <v>445</v>
      </c>
      <c r="I8" s="153">
        <v>-8.5385723838496103E-2</v>
      </c>
      <c r="J8" s="152" t="s">
        <v>443</v>
      </c>
      <c r="K8" s="153">
        <v>0.17490124044217725</v>
      </c>
      <c r="L8" s="144"/>
    </row>
    <row r="9" spans="1:12" ht="23.4" customHeight="1" x14ac:dyDescent="0.3">
      <c r="A9" s="144"/>
      <c r="B9" s="321"/>
      <c r="C9" s="321"/>
      <c r="D9" s="302"/>
      <c r="E9" s="319"/>
      <c r="F9" s="320"/>
      <c r="G9" s="151" t="s">
        <v>203</v>
      </c>
      <c r="H9" s="152" t="s">
        <v>443</v>
      </c>
      <c r="I9" s="153">
        <v>0.67606962968016282</v>
      </c>
      <c r="J9" s="152" t="s">
        <v>443</v>
      </c>
      <c r="K9" s="153">
        <v>0.11423938243504039</v>
      </c>
      <c r="L9" s="144"/>
    </row>
    <row r="10" spans="1:12" ht="23.4" customHeight="1" x14ac:dyDescent="0.3">
      <c r="A10" s="144"/>
      <c r="B10" s="321"/>
      <c r="C10" s="321"/>
      <c r="D10" s="302"/>
      <c r="E10" s="319"/>
      <c r="F10" s="320"/>
      <c r="G10" s="151" t="s">
        <v>83</v>
      </c>
      <c r="H10" s="152" t="s">
        <v>445</v>
      </c>
      <c r="I10" s="153">
        <v>-6.3908852169929947E-2</v>
      </c>
      <c r="J10" s="152" t="s">
        <v>443</v>
      </c>
      <c r="K10" s="153">
        <v>0.81414738930365005</v>
      </c>
      <c r="L10" s="144"/>
    </row>
    <row r="11" spans="1:12" ht="23.4" customHeight="1" x14ac:dyDescent="0.3">
      <c r="A11" s="144"/>
      <c r="B11" s="321"/>
      <c r="C11" s="321"/>
      <c r="D11" s="302"/>
      <c r="E11" s="319"/>
      <c r="F11" s="320"/>
      <c r="G11" s="151" t="s">
        <v>447</v>
      </c>
      <c r="H11" s="152" t="s">
        <v>443</v>
      </c>
      <c r="I11" s="153">
        <v>0.15536249769012508</v>
      </c>
      <c r="J11" s="152" t="s">
        <v>443</v>
      </c>
      <c r="K11" s="153">
        <v>0.31085133699775891</v>
      </c>
      <c r="L11" s="144"/>
    </row>
    <row r="12" spans="1:12" ht="23.4" customHeight="1" x14ac:dyDescent="0.3">
      <c r="A12" s="144"/>
      <c r="B12" s="321"/>
      <c r="C12" s="321"/>
      <c r="D12" s="302"/>
      <c r="E12" s="319"/>
      <c r="F12" s="320"/>
      <c r="G12" s="151" t="s">
        <v>448</v>
      </c>
      <c r="H12" s="152" t="s">
        <v>445</v>
      </c>
      <c r="I12" s="153">
        <v>-0.22229911478123543</v>
      </c>
      <c r="J12" s="152" t="s">
        <v>443</v>
      </c>
      <c r="K12" s="153">
        <v>0.39426812378273174</v>
      </c>
      <c r="L12" s="144"/>
    </row>
    <row r="13" spans="1:12" ht="23.4" customHeight="1" thickBot="1" x14ac:dyDescent="0.35">
      <c r="A13" s="144"/>
      <c r="B13" s="321"/>
      <c r="C13" s="321"/>
      <c r="D13" s="302"/>
      <c r="E13" s="292"/>
      <c r="F13" s="291"/>
      <c r="G13" s="154"/>
      <c r="H13" s="155"/>
      <c r="I13" s="156"/>
      <c r="J13" s="155"/>
      <c r="K13" s="156"/>
      <c r="L13" s="144"/>
    </row>
    <row r="14" spans="1:12" ht="23.4" customHeight="1" thickTop="1" x14ac:dyDescent="0.25">
      <c r="A14" s="144"/>
      <c r="B14" s="216"/>
      <c r="C14" s="209"/>
      <c r="D14" s="210"/>
      <c r="E14" s="216"/>
      <c r="F14" s="210"/>
      <c r="G14" s="326"/>
      <c r="H14" s="327"/>
      <c r="I14" s="328"/>
      <c r="J14" s="328"/>
      <c r="K14" s="329"/>
      <c r="L14" s="144"/>
    </row>
    <row r="15" spans="1:12" ht="23.4" customHeight="1" x14ac:dyDescent="0.25">
      <c r="A15" s="144"/>
      <c r="B15" s="196"/>
      <c r="C15" s="195"/>
      <c r="D15" s="194"/>
      <c r="E15" s="196"/>
      <c r="F15" s="194"/>
      <c r="G15" s="310"/>
      <c r="H15" s="330"/>
      <c r="I15" s="331"/>
      <c r="J15" s="331"/>
      <c r="K15" s="332"/>
      <c r="L15" s="144"/>
    </row>
    <row r="16" spans="1:12" ht="23.4" customHeight="1" x14ac:dyDescent="0.25">
      <c r="A16" s="144"/>
      <c r="B16" s="196"/>
      <c r="C16" s="195"/>
      <c r="D16" s="194"/>
      <c r="E16" s="196"/>
      <c r="F16" s="194"/>
      <c r="G16" s="310"/>
      <c r="H16" s="330"/>
      <c r="I16" s="331"/>
      <c r="J16" s="331"/>
      <c r="K16" s="332"/>
      <c r="L16" s="144"/>
    </row>
    <row r="17" spans="1:12" ht="23.4" customHeight="1" x14ac:dyDescent="0.25">
      <c r="A17" s="144"/>
      <c r="B17" s="196"/>
      <c r="C17" s="195"/>
      <c r="D17" s="194"/>
      <c r="E17" s="196"/>
      <c r="F17" s="194"/>
      <c r="G17" s="310"/>
      <c r="H17" s="330"/>
      <c r="I17" s="331"/>
      <c r="J17" s="331"/>
      <c r="K17" s="332"/>
      <c r="L17" s="144"/>
    </row>
    <row r="18" spans="1:12" ht="23.4" customHeight="1" x14ac:dyDescent="0.25">
      <c r="A18" s="144"/>
      <c r="B18" s="196"/>
      <c r="C18" s="195"/>
      <c r="D18" s="194"/>
      <c r="E18" s="196"/>
      <c r="F18" s="194"/>
      <c r="G18" s="310"/>
      <c r="H18" s="330"/>
      <c r="I18" s="331"/>
      <c r="J18" s="331"/>
      <c r="K18" s="332"/>
      <c r="L18" s="144"/>
    </row>
    <row r="19" spans="1:12" ht="23.4" customHeight="1" x14ac:dyDescent="0.25">
      <c r="A19" s="144"/>
      <c r="B19" s="196"/>
      <c r="C19" s="195"/>
      <c r="D19" s="194"/>
      <c r="E19" s="196"/>
      <c r="F19" s="194"/>
      <c r="G19" s="310"/>
      <c r="H19" s="330"/>
      <c r="I19" s="331"/>
      <c r="J19" s="331"/>
      <c r="K19" s="332"/>
      <c r="L19" s="144"/>
    </row>
    <row r="20" spans="1:12" ht="23.4" customHeight="1" x14ac:dyDescent="0.25">
      <c r="A20" s="144"/>
      <c r="B20" s="196"/>
      <c r="C20" s="195"/>
      <c r="D20" s="194"/>
      <c r="E20" s="196"/>
      <c r="F20" s="194"/>
      <c r="G20" s="310"/>
      <c r="H20" s="330"/>
      <c r="I20" s="331"/>
      <c r="J20" s="331"/>
      <c r="K20" s="332"/>
      <c r="L20" s="144"/>
    </row>
    <row r="21" spans="1:12" ht="23.4" customHeight="1" thickBot="1" x14ac:dyDescent="0.3">
      <c r="A21" s="144"/>
      <c r="B21" s="205"/>
      <c r="C21" s="204"/>
      <c r="D21" s="203"/>
      <c r="E21" s="205"/>
      <c r="F21" s="203"/>
      <c r="G21" s="311"/>
      <c r="H21" s="333"/>
      <c r="I21" s="334"/>
      <c r="J21" s="334"/>
      <c r="K21" s="335"/>
      <c r="L21" s="144"/>
    </row>
    <row r="22" spans="1:12" ht="23.4" customHeight="1" thickTop="1" x14ac:dyDescent="0.25">
      <c r="A22" s="144"/>
      <c r="B22" s="282" t="s">
        <v>452</v>
      </c>
      <c r="C22" s="283"/>
      <c r="D22" s="283"/>
      <c r="E22" s="336"/>
      <c r="F22" s="282" t="s">
        <v>509</v>
      </c>
      <c r="G22" s="283"/>
      <c r="H22" s="283"/>
      <c r="I22" s="283"/>
      <c r="J22" s="283"/>
      <c r="K22" s="336"/>
      <c r="L22" s="144"/>
    </row>
    <row r="23" spans="1:12" ht="23.4" customHeight="1" x14ac:dyDescent="0.25">
      <c r="A23" s="144"/>
      <c r="B23" s="284"/>
      <c r="C23" s="285"/>
      <c r="D23" s="285"/>
      <c r="E23" s="337"/>
      <c r="F23" s="284"/>
      <c r="G23" s="285"/>
      <c r="H23" s="285"/>
      <c r="I23" s="285"/>
      <c r="J23" s="285"/>
      <c r="K23" s="337"/>
      <c r="L23" s="144"/>
    </row>
    <row r="24" spans="1:12" s="202" customFormat="1" ht="23.4" customHeight="1" x14ac:dyDescent="0.25">
      <c r="A24" s="200"/>
      <c r="B24" s="253"/>
      <c r="C24" s="254">
        <v>2022</v>
      </c>
      <c r="D24" s="254">
        <v>2021</v>
      </c>
      <c r="E24" s="201" t="s">
        <v>451</v>
      </c>
      <c r="F24" s="258" t="s">
        <v>455</v>
      </c>
      <c r="G24" s="338"/>
      <c r="H24" s="339"/>
      <c r="I24" s="340"/>
      <c r="J24" s="259"/>
      <c r="K24" s="260"/>
      <c r="L24" s="200"/>
    </row>
    <row r="25" spans="1:12" ht="23.4" customHeight="1" x14ac:dyDescent="0.3">
      <c r="A25" s="144"/>
      <c r="B25" s="255" t="s" cm="1">
        <v>375</v>
      </c>
      <c r="C25" s="256">
        <v>785720</v>
      </c>
      <c r="D25" s="256">
        <v>434640</v>
      </c>
      <c r="E25" s="257">
        <v>-351080</v>
      </c>
      <c r="F25" s="196"/>
      <c r="G25" s="195"/>
      <c r="H25" s="217"/>
      <c r="I25" s="250"/>
      <c r="J25" s="217"/>
      <c r="K25" s="252"/>
      <c r="L25" s="144"/>
    </row>
    <row r="26" spans="1:12" ht="23.4" customHeight="1" x14ac:dyDescent="0.3">
      <c r="A26" s="144"/>
      <c r="B26" s="255" t="s" cm="1">
        <v>374</v>
      </c>
      <c r="C26" s="256">
        <v>548600</v>
      </c>
      <c r="D26" s="256">
        <v>435500</v>
      </c>
      <c r="E26" s="257">
        <v>-113100</v>
      </c>
      <c r="F26" s="196"/>
      <c r="G26" s="195"/>
      <c r="H26" s="217"/>
      <c r="I26" s="250"/>
      <c r="J26" s="217"/>
      <c r="K26" s="252"/>
      <c r="L26" s="144"/>
    </row>
    <row r="27" spans="1:12" ht="23.4" customHeight="1" x14ac:dyDescent="0.3">
      <c r="A27" s="144"/>
      <c r="B27" s="255" t="s" cm="1">
        <v>78</v>
      </c>
      <c r="C27" s="256">
        <v>546530</v>
      </c>
      <c r="D27" s="256">
        <v>450300</v>
      </c>
      <c r="E27" s="257">
        <v>-96230</v>
      </c>
      <c r="F27" s="196"/>
      <c r="G27" s="195"/>
      <c r="H27" s="217"/>
      <c r="I27" s="250"/>
      <c r="J27" s="217"/>
      <c r="K27" s="252"/>
      <c r="L27" s="144"/>
    </row>
    <row r="28" spans="1:12" ht="23.4" customHeight="1" x14ac:dyDescent="0.3">
      <c r="A28" s="144"/>
      <c r="B28" s="255" t="s" cm="1">
        <v>181</v>
      </c>
      <c r="C28" s="256">
        <v>144000</v>
      </c>
      <c r="D28" s="256">
        <v>120000</v>
      </c>
      <c r="E28" s="257">
        <v>-24000</v>
      </c>
      <c r="F28" s="196"/>
      <c r="G28" s="195"/>
      <c r="H28" s="217"/>
      <c r="I28" s="250"/>
      <c r="J28" s="217"/>
      <c r="K28" s="252"/>
      <c r="L28" s="144"/>
    </row>
    <row r="29" spans="1:12" ht="23.4" customHeight="1" x14ac:dyDescent="0.3">
      <c r="A29" s="144"/>
      <c r="B29" s="255" t="s" cm="1">
        <v>168</v>
      </c>
      <c r="C29" s="256">
        <v>143644</v>
      </c>
      <c r="D29" s="256">
        <v>170000</v>
      </c>
      <c r="E29" s="257">
        <v>26356</v>
      </c>
      <c r="F29" s="196"/>
      <c r="G29" s="195"/>
      <c r="H29" s="217"/>
      <c r="I29" s="250"/>
      <c r="J29" s="217"/>
      <c r="K29" s="252"/>
      <c r="L29" s="144"/>
    </row>
    <row r="30" spans="1:12" ht="23.4" customHeight="1" thickBot="1" x14ac:dyDescent="0.35">
      <c r="A30" s="144"/>
      <c r="B30" s="205"/>
      <c r="C30" s="204"/>
      <c r="D30" s="204"/>
      <c r="E30" s="203"/>
      <c r="F30" s="205"/>
      <c r="G30" s="204"/>
      <c r="H30" s="206"/>
      <c r="I30" s="207"/>
      <c r="J30" s="206"/>
      <c r="K30" s="251"/>
      <c r="L30" s="144"/>
    </row>
    <row r="31" spans="1:12" ht="23.4" customHeight="1" thickTop="1" x14ac:dyDescent="0.25">
      <c r="A31" s="144"/>
      <c r="B31" s="286"/>
      <c r="C31" s="287"/>
      <c r="D31" s="301"/>
      <c r="E31" s="274" t="s">
        <v>526</v>
      </c>
      <c r="F31" s="275"/>
      <c r="G31" s="274" t="s">
        <v>510</v>
      </c>
      <c r="H31" s="312"/>
      <c r="I31" s="312"/>
      <c r="J31" s="312"/>
      <c r="K31" s="275"/>
      <c r="L31" s="144"/>
    </row>
    <row r="32" spans="1:12" ht="23.4" customHeight="1" x14ac:dyDescent="0.25">
      <c r="A32" s="144"/>
      <c r="B32" s="288"/>
      <c r="C32" s="289"/>
      <c r="D32" s="302"/>
      <c r="E32" s="276"/>
      <c r="F32" s="277"/>
      <c r="G32" s="276"/>
      <c r="H32" s="325"/>
      <c r="I32" s="325"/>
      <c r="J32" s="325"/>
      <c r="K32" s="277"/>
      <c r="L32" s="144"/>
    </row>
    <row r="33" spans="1:12" ht="23.4" customHeight="1" thickBot="1" x14ac:dyDescent="0.35">
      <c r="A33" s="144"/>
      <c r="B33" s="288"/>
      <c r="C33" s="289"/>
      <c r="D33" s="302"/>
      <c r="E33" s="196"/>
      <c r="F33" s="194"/>
      <c r="G33" s="261"/>
      <c r="H33" s="217"/>
      <c r="I33" s="254">
        <v>2022</v>
      </c>
      <c r="J33" s="217"/>
      <c r="K33" s="201">
        <v>2021</v>
      </c>
      <c r="L33" s="144"/>
    </row>
    <row r="34" spans="1:12" ht="23.4" customHeight="1" thickTop="1" x14ac:dyDescent="0.3">
      <c r="A34" s="144"/>
      <c r="B34" s="288"/>
      <c r="C34" s="289"/>
      <c r="D34" s="302"/>
      <c r="E34" s="278">
        <v>326674</v>
      </c>
      <c r="F34" s="279"/>
      <c r="G34" s="262" t="s">
        <v>458</v>
      </c>
      <c r="H34" s="217"/>
      <c r="I34" s="263">
        <v>1620482</v>
      </c>
      <c r="J34" s="264"/>
      <c r="K34" s="213">
        <v>1670075</v>
      </c>
      <c r="L34" s="144"/>
    </row>
    <row r="35" spans="1:12" ht="23.4" customHeight="1" thickBot="1" x14ac:dyDescent="0.35">
      <c r="A35" s="144"/>
      <c r="B35" s="288"/>
      <c r="C35" s="289"/>
      <c r="D35" s="302"/>
      <c r="E35" s="280"/>
      <c r="F35" s="281"/>
      <c r="G35" s="262" t="s">
        <v>459</v>
      </c>
      <c r="H35" s="217"/>
      <c r="I35" s="263">
        <v>-825000</v>
      </c>
      <c r="J35" s="264"/>
      <c r="K35" s="213">
        <v>-1647250</v>
      </c>
      <c r="L35" s="144"/>
    </row>
    <row r="36" spans="1:12" ht="23.4" customHeight="1" thickTop="1" x14ac:dyDescent="0.3">
      <c r="A36" s="144"/>
      <c r="B36" s="288"/>
      <c r="C36" s="289"/>
      <c r="D36" s="302"/>
      <c r="E36" s="196"/>
      <c r="F36" s="194"/>
      <c r="G36" s="265" t="s">
        <v>460</v>
      </c>
      <c r="H36" s="217"/>
      <c r="I36" s="263">
        <v>-862788</v>
      </c>
      <c r="J36" s="264"/>
      <c r="K36" s="213">
        <v>183531</v>
      </c>
      <c r="L36" s="144"/>
    </row>
    <row r="37" spans="1:12" ht="23.4" customHeight="1" x14ac:dyDescent="0.3">
      <c r="A37" s="144"/>
      <c r="B37" s="288"/>
      <c r="C37" s="289"/>
      <c r="D37" s="302"/>
      <c r="E37" s="196"/>
      <c r="F37" s="194"/>
      <c r="G37" s="262" t="s">
        <v>461</v>
      </c>
      <c r="H37" s="217"/>
      <c r="I37" s="263">
        <v>-67306</v>
      </c>
      <c r="J37" s="264"/>
      <c r="K37" s="213">
        <v>206356</v>
      </c>
      <c r="L37" s="144"/>
    </row>
    <row r="38" spans="1:12" ht="23.4" customHeight="1" thickBot="1" x14ac:dyDescent="0.35">
      <c r="A38" s="144"/>
      <c r="B38" s="322"/>
      <c r="C38" s="323"/>
      <c r="D38" s="324"/>
      <c r="E38" s="196"/>
      <c r="F38" s="194"/>
      <c r="G38" s="261"/>
      <c r="H38" s="217"/>
      <c r="I38" s="263"/>
      <c r="J38" s="264"/>
      <c r="K38" s="213"/>
      <c r="L38" s="144"/>
    </row>
    <row r="39" spans="1:12" ht="23.4" customHeight="1" thickTop="1" x14ac:dyDescent="0.25">
      <c r="A39" s="144"/>
      <c r="B39" s="282" t="s">
        <v>511</v>
      </c>
      <c r="C39" s="283"/>
      <c r="D39" s="283"/>
      <c r="E39" s="286"/>
      <c r="F39" s="287"/>
      <c r="G39" s="287"/>
      <c r="H39" s="287"/>
      <c r="I39" s="287"/>
      <c r="J39" s="287"/>
      <c r="K39" s="301"/>
      <c r="L39" s="144"/>
    </row>
    <row r="40" spans="1:12" ht="23.4" customHeight="1" x14ac:dyDescent="0.25">
      <c r="A40" s="144"/>
      <c r="B40" s="284"/>
      <c r="C40" s="285"/>
      <c r="D40" s="285"/>
      <c r="E40" s="288"/>
      <c r="F40" s="289"/>
      <c r="G40" s="289"/>
      <c r="H40" s="289"/>
      <c r="I40" s="289"/>
      <c r="J40" s="289"/>
      <c r="K40" s="302"/>
      <c r="L40" s="144"/>
    </row>
    <row r="41" spans="1:12" ht="23.4" customHeight="1" x14ac:dyDescent="0.25">
      <c r="A41" s="144"/>
      <c r="B41" s="253"/>
      <c r="C41" s="267">
        <v>2022</v>
      </c>
      <c r="D41" s="267">
        <v>2021</v>
      </c>
      <c r="E41" s="288"/>
      <c r="F41" s="289"/>
      <c r="G41" s="289"/>
      <c r="H41" s="289"/>
      <c r="I41" s="289"/>
      <c r="J41" s="289"/>
      <c r="K41" s="302"/>
      <c r="L41" s="144"/>
    </row>
    <row r="42" spans="1:12" ht="23.4" customHeight="1" x14ac:dyDescent="0.25">
      <c r="A42" s="144"/>
      <c r="B42" s="268" t="s">
        <v>463</v>
      </c>
      <c r="C42" s="263">
        <v>6180097</v>
      </c>
      <c r="D42" s="263">
        <v>6005677</v>
      </c>
      <c r="E42" s="288"/>
      <c r="F42" s="289"/>
      <c r="G42" s="289"/>
      <c r="H42" s="289"/>
      <c r="I42" s="289"/>
      <c r="J42" s="289"/>
      <c r="K42" s="302"/>
      <c r="L42" s="144"/>
    </row>
    <row r="43" spans="1:12" ht="23.4" customHeight="1" x14ac:dyDescent="0.25">
      <c r="A43" s="144"/>
      <c r="B43" s="268" t="s">
        <v>464</v>
      </c>
      <c r="C43" s="263">
        <v>1332666</v>
      </c>
      <c r="D43" s="263">
        <v>1297357</v>
      </c>
      <c r="E43" s="288"/>
      <c r="F43" s="289"/>
      <c r="G43" s="289"/>
      <c r="H43" s="289"/>
      <c r="I43" s="289"/>
      <c r="J43" s="289"/>
      <c r="K43" s="302"/>
      <c r="L43" s="144"/>
    </row>
    <row r="44" spans="1:12" ht="23.4" customHeight="1" x14ac:dyDescent="0.25">
      <c r="A44" s="144"/>
      <c r="B44" s="268" t="s">
        <v>15</v>
      </c>
      <c r="C44" s="263">
        <v>7512763</v>
      </c>
      <c r="D44" s="263">
        <v>7303034</v>
      </c>
      <c r="E44" s="288"/>
      <c r="F44" s="289"/>
      <c r="G44" s="289"/>
      <c r="H44" s="289"/>
      <c r="I44" s="289"/>
      <c r="J44" s="289"/>
      <c r="K44" s="302"/>
      <c r="L44" s="144"/>
    </row>
    <row r="45" spans="1:12" s="215" customFormat="1" ht="23.4" customHeight="1" x14ac:dyDescent="0.25">
      <c r="A45" s="214"/>
      <c r="B45" s="218"/>
      <c r="C45" s="267">
        <v>2022</v>
      </c>
      <c r="D45" s="267">
        <v>2021</v>
      </c>
      <c r="E45" s="288"/>
      <c r="F45" s="289"/>
      <c r="G45" s="289"/>
      <c r="H45" s="289"/>
      <c r="I45" s="289"/>
      <c r="J45" s="289"/>
      <c r="K45" s="302"/>
      <c r="L45" s="214"/>
    </row>
    <row r="46" spans="1:12" ht="23.4" customHeight="1" x14ac:dyDescent="0.25">
      <c r="A46" s="144"/>
      <c r="B46" s="268" t="s">
        <v>465</v>
      </c>
      <c r="C46" s="263">
        <v>5224874</v>
      </c>
      <c r="D46" s="263">
        <v>4340805</v>
      </c>
      <c r="E46" s="288"/>
      <c r="F46" s="289"/>
      <c r="G46" s="289"/>
      <c r="H46" s="289"/>
      <c r="I46" s="289"/>
      <c r="J46" s="289"/>
      <c r="K46" s="302"/>
      <c r="L46" s="144"/>
    </row>
    <row r="47" spans="1:12" ht="23.4" customHeight="1" x14ac:dyDescent="0.25">
      <c r="A47" s="144"/>
      <c r="B47" s="268" t="s">
        <v>466</v>
      </c>
      <c r="C47" s="263">
        <v>1317527</v>
      </c>
      <c r="D47" s="213">
        <v>2131482</v>
      </c>
      <c r="E47" s="300" t="s">
        <v>464</v>
      </c>
      <c r="F47" s="295"/>
      <c r="G47" s="295" t="s">
        <v>19</v>
      </c>
      <c r="H47" s="295"/>
      <c r="I47" s="295" t="s">
        <v>83</v>
      </c>
      <c r="J47" s="295"/>
      <c r="K47" s="298"/>
      <c r="L47" s="144"/>
    </row>
    <row r="48" spans="1:12" ht="23.4" customHeight="1" x14ac:dyDescent="0.3">
      <c r="A48" s="144"/>
      <c r="B48" s="268" t="s">
        <v>467</v>
      </c>
      <c r="C48" s="263">
        <v>970362</v>
      </c>
      <c r="D48" s="213">
        <v>830747</v>
      </c>
      <c r="E48" s="293">
        <v>1332666</v>
      </c>
      <c r="F48" s="294"/>
      <c r="G48" s="296">
        <v>2287889</v>
      </c>
      <c r="H48" s="294"/>
      <c r="I48" s="296">
        <v>1034069</v>
      </c>
      <c r="J48" s="294"/>
      <c r="K48" s="299"/>
      <c r="L48" s="144"/>
    </row>
    <row r="49" spans="1:13" ht="23.4" customHeight="1" x14ac:dyDescent="0.25">
      <c r="A49" s="144"/>
      <c r="B49" s="268" t="s">
        <v>19</v>
      </c>
      <c r="C49" s="263">
        <v>2287889</v>
      </c>
      <c r="D49" s="213">
        <v>2962229</v>
      </c>
      <c r="E49" s="300" t="s">
        <v>467</v>
      </c>
      <c r="F49" s="295"/>
      <c r="G49" s="297" t="s">
        <v>465</v>
      </c>
      <c r="H49" s="295"/>
      <c r="I49" s="295" t="s">
        <v>469</v>
      </c>
      <c r="J49" s="295"/>
      <c r="K49" s="298"/>
      <c r="L49" s="144"/>
    </row>
    <row r="50" spans="1:13" ht="23.4" customHeight="1" x14ac:dyDescent="0.3">
      <c r="A50" s="144"/>
      <c r="B50" s="268" t="s">
        <v>20</v>
      </c>
      <c r="C50" s="263">
        <v>7512763</v>
      </c>
      <c r="D50" s="213">
        <v>7303034</v>
      </c>
      <c r="E50" s="293">
        <v>970362</v>
      </c>
      <c r="F50" s="294"/>
      <c r="G50" s="296">
        <v>5224874</v>
      </c>
      <c r="H50" s="294"/>
      <c r="I50" s="296">
        <v>6542401</v>
      </c>
      <c r="J50" s="294"/>
      <c r="K50" s="299"/>
      <c r="L50" s="144"/>
    </row>
    <row r="51" spans="1:13" ht="23.4" customHeight="1" thickBot="1" x14ac:dyDescent="0.3">
      <c r="A51" s="144"/>
      <c r="B51" s="205"/>
      <c r="C51" s="212"/>
      <c r="D51" s="266"/>
      <c r="E51" s="292"/>
      <c r="F51" s="290"/>
      <c r="G51" s="290"/>
      <c r="H51" s="290"/>
      <c r="I51" s="290"/>
      <c r="J51" s="290"/>
      <c r="K51" s="291"/>
      <c r="L51" s="144"/>
    </row>
    <row r="52" spans="1:13" ht="23.4" customHeight="1" thickTop="1" x14ac:dyDescent="0.3">
      <c r="A52" s="144"/>
      <c r="B52" s="144"/>
      <c r="C52" s="144"/>
      <c r="D52" s="144"/>
      <c r="E52" s="144"/>
      <c r="F52" s="144"/>
      <c r="G52" s="144"/>
      <c r="H52" s="145"/>
      <c r="I52" s="146"/>
      <c r="J52" s="145"/>
      <c r="K52" s="146"/>
      <c r="L52" s="144"/>
    </row>
    <row r="54" spans="1:13" s="157" customFormat="1" ht="23.4" customHeight="1" x14ac:dyDescent="0.3">
      <c r="A54" s="238" t="s">
        <v>512</v>
      </c>
      <c r="H54" s="158"/>
      <c r="I54" s="159"/>
      <c r="J54" s="158"/>
      <c r="K54" s="222"/>
    </row>
    <row r="55" spans="1:13" ht="23.4" customHeight="1" x14ac:dyDescent="0.3">
      <c r="A55" s="208" t="s">
        <v>517</v>
      </c>
      <c r="K55" s="222"/>
    </row>
    <row r="56" spans="1:13" ht="23.4" customHeight="1" x14ac:dyDescent="0.3">
      <c r="A56" s="208" t="s">
        <v>525</v>
      </c>
      <c r="C56" s="161"/>
      <c r="D56" s="161"/>
      <c r="K56" s="222"/>
    </row>
    <row r="57" spans="1:13" s="161" customFormat="1" ht="23.4" customHeight="1" x14ac:dyDescent="0.3">
      <c r="A57" s="221" t="s">
        <v>446</v>
      </c>
      <c r="C57" s="161">
        <v>1</v>
      </c>
      <c r="D57" s="161">
        <v>2</v>
      </c>
      <c r="E57" s="161">
        <v>6</v>
      </c>
      <c r="H57" s="160"/>
      <c r="J57" s="160"/>
      <c r="K57" s="222"/>
    </row>
    <row r="58" spans="1:13" s="161" customFormat="1" ht="23.4" customHeight="1" x14ac:dyDescent="0.3">
      <c r="A58" s="221" t="s">
        <v>442</v>
      </c>
      <c r="C58" s="177" t="s">
        <v>443</v>
      </c>
      <c r="D58" s="177" t="s">
        <v>444</v>
      </c>
      <c r="E58" s="177" t="s">
        <v>445</v>
      </c>
      <c r="H58" s="160"/>
      <c r="J58" s="160"/>
      <c r="K58" s="222"/>
    </row>
    <row r="59" spans="1:13" s="174" customFormat="1" ht="23.4" customHeight="1" x14ac:dyDescent="0.3">
      <c r="A59" s="221" t="s">
        <v>438</v>
      </c>
      <c r="C59" s="175">
        <v>2022</v>
      </c>
      <c r="D59" s="175">
        <v>2021</v>
      </c>
      <c r="E59" s="175">
        <v>2020</v>
      </c>
      <c r="F59" s="175"/>
      <c r="H59" s="176"/>
      <c r="J59" s="176"/>
      <c r="K59" s="222"/>
    </row>
    <row r="60" spans="1:13" s="185" customFormat="1" ht="23.4" customHeight="1" x14ac:dyDescent="0.3">
      <c r="A60" s="228" t="s">
        <v>527</v>
      </c>
      <c r="C60" s="186"/>
      <c r="D60" s="186"/>
      <c r="E60" s="186"/>
      <c r="F60" s="186"/>
      <c r="H60" s="187"/>
      <c r="J60" s="187"/>
      <c r="K60" s="222"/>
    </row>
    <row r="61" spans="1:13" s="163" customFormat="1" ht="23.4" customHeight="1" x14ac:dyDescent="0.3">
      <c r="A61" s="229" t="s">
        <v>161</v>
      </c>
      <c r="C61" s="163">
        <v>6911623</v>
      </c>
      <c r="D61" s="163">
        <v>6242037</v>
      </c>
      <c r="E61" s="163">
        <v>5201696</v>
      </c>
      <c r="H61" s="164"/>
      <c r="I61" s="165"/>
      <c r="J61" s="164"/>
      <c r="K61" s="223" t="s">
        <v>470</v>
      </c>
      <c r="M61" s="166"/>
    </row>
    <row r="62" spans="1:13" s="179" customFormat="1" ht="23.4" customHeight="1" x14ac:dyDescent="0.3">
      <c r="A62" s="178" t="s">
        <v>528</v>
      </c>
      <c r="H62" s="180"/>
      <c r="I62" s="181"/>
      <c r="J62" s="180"/>
      <c r="K62" s="223"/>
      <c r="M62" s="182"/>
    </row>
    <row r="63" spans="1:13" s="163" customFormat="1" ht="23.4" customHeight="1" x14ac:dyDescent="0.3">
      <c r="A63" s="229" t="s">
        <v>83</v>
      </c>
      <c r="C63" s="163">
        <v>1034069</v>
      </c>
      <c r="D63" s="163">
        <v>1104667</v>
      </c>
      <c r="E63" s="163">
        <v>608918</v>
      </c>
      <c r="H63" s="164"/>
      <c r="I63" s="165"/>
      <c r="J63" s="164"/>
      <c r="K63" s="223" t="s">
        <v>470</v>
      </c>
      <c r="M63" s="166"/>
    </row>
    <row r="64" spans="1:13" s="179" customFormat="1" ht="23.4" customHeight="1" x14ac:dyDescent="0.3">
      <c r="A64" s="178" t="s">
        <v>529</v>
      </c>
      <c r="C64" s="181" t="s">
        <v>449</v>
      </c>
      <c r="D64" s="181" t="s">
        <v>439</v>
      </c>
      <c r="E64" s="181" t="s">
        <v>440</v>
      </c>
      <c r="F64" s="181" t="s">
        <v>441</v>
      </c>
      <c r="G64" s="181"/>
      <c r="H64" s="180"/>
      <c r="I64" s="181"/>
      <c r="J64" s="180"/>
      <c r="K64" s="223"/>
      <c r="M64" s="182"/>
    </row>
    <row r="65" spans="1:13" s="171" customFormat="1" ht="23.4" customHeight="1" x14ac:dyDescent="0.3">
      <c r="A65" s="230" t="s">
        <v>530</v>
      </c>
      <c r="C65" s="231">
        <v>58.308272890462916</v>
      </c>
      <c r="D65" s="172">
        <v>75.800754757601794</v>
      </c>
      <c r="E65" s="172">
        <v>54.199245242398206</v>
      </c>
      <c r="F65" s="171">
        <v>30</v>
      </c>
      <c r="H65" s="173"/>
      <c r="J65" s="173"/>
      <c r="K65" s="224" t="s">
        <v>475</v>
      </c>
    </row>
    <row r="66" spans="1:13" s="179" customFormat="1" ht="23.4" customHeight="1" x14ac:dyDescent="0.3">
      <c r="A66" s="178" t="s">
        <v>531</v>
      </c>
      <c r="B66" s="183"/>
      <c r="C66" s="237" t="s">
        <v>449</v>
      </c>
      <c r="D66" s="181" t="s">
        <v>439</v>
      </c>
      <c r="E66" s="181" t="s">
        <v>440</v>
      </c>
      <c r="F66" s="184" t="s">
        <v>441</v>
      </c>
      <c r="H66" s="180"/>
      <c r="I66" s="181"/>
      <c r="J66" s="180"/>
      <c r="K66" s="223"/>
      <c r="M66" s="182"/>
    </row>
    <row r="67" spans="1:13" s="163" customFormat="1" ht="23.4" customHeight="1" x14ac:dyDescent="0.3">
      <c r="A67" s="230" t="s">
        <v>532</v>
      </c>
      <c r="B67" s="171"/>
      <c r="C67" s="231">
        <v>14.961305036458153</v>
      </c>
      <c r="D67" s="172">
        <v>19.4496965473956</v>
      </c>
      <c r="E67" s="172">
        <v>110.5503034526044</v>
      </c>
      <c r="F67" s="171">
        <v>30</v>
      </c>
      <c r="H67" s="164"/>
      <c r="I67" s="165"/>
      <c r="J67" s="164"/>
      <c r="K67" s="224" t="s">
        <v>474</v>
      </c>
      <c r="M67" s="166"/>
    </row>
    <row r="68" spans="1:13" s="179" customFormat="1" ht="23.4" customHeight="1" x14ac:dyDescent="0.3">
      <c r="A68" s="178" t="s">
        <v>533</v>
      </c>
      <c r="B68" s="183"/>
      <c r="C68" s="181" t="s">
        <v>450</v>
      </c>
      <c r="D68" s="181" t="s">
        <v>439</v>
      </c>
      <c r="E68" s="181" t="s">
        <v>440</v>
      </c>
      <c r="F68" s="184" t="s">
        <v>441</v>
      </c>
      <c r="H68" s="180"/>
      <c r="I68" s="181"/>
      <c r="J68" s="180"/>
      <c r="K68" s="223"/>
      <c r="M68" s="182"/>
    </row>
    <row r="69" spans="1:13" s="163" customFormat="1" ht="23.4" customHeight="1" x14ac:dyDescent="0.3">
      <c r="A69" s="230" t="s">
        <v>534</v>
      </c>
      <c r="B69" s="171"/>
      <c r="C69" s="231">
        <v>8.6011213971640696</v>
      </c>
      <c r="D69" s="172">
        <v>116.4599149805148</v>
      </c>
      <c r="E69" s="172">
        <v>13.540085019485204</v>
      </c>
      <c r="F69" s="171">
        <v>30</v>
      </c>
      <c r="H69" s="164"/>
      <c r="I69" s="165"/>
      <c r="J69" s="164"/>
      <c r="K69" s="224" t="s">
        <v>476</v>
      </c>
      <c r="M69" s="166"/>
    </row>
    <row r="70" spans="1:13" s="179" customFormat="1" ht="23.4" customHeight="1" x14ac:dyDescent="0.3">
      <c r="A70" s="178" t="s">
        <v>535</v>
      </c>
      <c r="B70" s="183"/>
      <c r="C70" s="237" t="s">
        <v>449</v>
      </c>
      <c r="D70" s="181" t="s">
        <v>439</v>
      </c>
      <c r="E70" s="181" t="s">
        <v>440</v>
      </c>
      <c r="F70" s="184" t="s">
        <v>441</v>
      </c>
      <c r="H70" s="180"/>
      <c r="I70" s="181"/>
      <c r="J70" s="180"/>
      <c r="K70" s="223"/>
      <c r="M70" s="182"/>
    </row>
    <row r="71" spans="1:13" s="163" customFormat="1" ht="23.4" customHeight="1" x14ac:dyDescent="0.3">
      <c r="A71" s="230" t="s">
        <v>536</v>
      </c>
      <c r="B71" s="171"/>
      <c r="C71" s="231">
        <v>19.79127152157162</v>
      </c>
      <c r="D71" s="172">
        <v>25.728652978043105</v>
      </c>
      <c r="E71" s="172">
        <v>104.2713470219569</v>
      </c>
      <c r="F71" s="171">
        <v>30</v>
      </c>
      <c r="H71" s="164"/>
      <c r="I71" s="165"/>
      <c r="J71" s="164"/>
      <c r="K71" s="224" t="s">
        <v>474</v>
      </c>
      <c r="M71" s="166"/>
    </row>
    <row r="72" spans="1:13" s="198" customFormat="1" ht="23.4" customHeight="1" x14ac:dyDescent="0.3">
      <c r="A72" s="220" t="s">
        <v>456</v>
      </c>
      <c r="C72" s="198">
        <v>2022</v>
      </c>
      <c r="D72" s="198">
        <v>2021</v>
      </c>
      <c r="E72" s="198">
        <v>2020</v>
      </c>
      <c r="H72" s="225"/>
      <c r="J72" s="225"/>
      <c r="K72" s="226"/>
      <c r="M72" s="227"/>
    </row>
    <row r="73" spans="1:13" s="167" customFormat="1" ht="23.4" customHeight="1" x14ac:dyDescent="0.3">
      <c r="A73" s="232" t="s">
        <v>161</v>
      </c>
      <c r="C73" s="163">
        <v>6911623</v>
      </c>
      <c r="D73" s="163">
        <v>6242037</v>
      </c>
      <c r="E73" s="163">
        <v>5201696</v>
      </c>
      <c r="H73" s="168"/>
      <c r="I73" s="169"/>
      <c r="J73" s="168"/>
      <c r="K73" s="223" t="s">
        <v>470</v>
      </c>
      <c r="M73" s="170"/>
    </row>
    <row r="74" spans="1:13" s="167" customFormat="1" ht="23.4" customHeight="1" x14ac:dyDescent="0.3">
      <c r="A74" s="232" t="s">
        <v>43</v>
      </c>
      <c r="C74" s="163">
        <v>4030048</v>
      </c>
      <c r="D74" s="163">
        <v>3438773</v>
      </c>
      <c r="E74" s="163">
        <v>2605827</v>
      </c>
      <c r="H74" s="168"/>
      <c r="I74" s="169"/>
      <c r="J74" s="168"/>
      <c r="K74" s="223" t="s">
        <v>470</v>
      </c>
      <c r="M74" s="170"/>
    </row>
    <row r="75" spans="1:13" s="163" customFormat="1" ht="23.4" customHeight="1" x14ac:dyDescent="0.3">
      <c r="A75" s="229" t="s">
        <v>164</v>
      </c>
      <c r="C75" s="163">
        <v>2427451</v>
      </c>
      <c r="D75" s="163">
        <v>1896411</v>
      </c>
      <c r="E75" s="163">
        <v>1603492</v>
      </c>
      <c r="H75" s="164"/>
      <c r="I75" s="165"/>
      <c r="J75" s="164"/>
      <c r="K75" s="223" t="s">
        <v>470</v>
      </c>
      <c r="M75" s="166"/>
    </row>
    <row r="76" spans="1:13" s="163" customFormat="1" ht="23.4" customHeight="1" x14ac:dyDescent="0.3">
      <c r="A76" s="229" t="s">
        <v>25</v>
      </c>
      <c r="C76" s="163">
        <v>194222</v>
      </c>
      <c r="D76" s="163">
        <v>212354</v>
      </c>
      <c r="E76" s="163">
        <v>180742</v>
      </c>
      <c r="H76" s="164"/>
      <c r="I76" s="165"/>
      <c r="J76" s="164"/>
      <c r="K76" s="223" t="s">
        <v>470</v>
      </c>
      <c r="M76" s="166"/>
    </row>
    <row r="77" spans="1:13" s="163" customFormat="1" ht="23.4" customHeight="1" x14ac:dyDescent="0.3">
      <c r="A77" s="229" t="s">
        <v>203</v>
      </c>
      <c r="C77" s="163">
        <v>442236</v>
      </c>
      <c r="D77" s="163">
        <v>263853</v>
      </c>
      <c r="E77" s="163">
        <v>236801</v>
      </c>
      <c r="H77" s="164"/>
      <c r="I77" s="165"/>
      <c r="J77" s="164"/>
      <c r="K77" s="223" t="s">
        <v>470</v>
      </c>
      <c r="M77" s="166"/>
    </row>
    <row r="78" spans="1:13" s="163" customFormat="1" ht="23.4" customHeight="1" x14ac:dyDescent="0.3">
      <c r="A78" s="229" t="s">
        <v>83</v>
      </c>
      <c r="C78" s="163">
        <v>1034069</v>
      </c>
      <c r="D78" s="163">
        <v>1104667</v>
      </c>
      <c r="E78" s="163">
        <v>608918</v>
      </c>
      <c r="H78" s="164"/>
      <c r="I78" s="165"/>
      <c r="J78" s="164"/>
      <c r="K78" s="223" t="s">
        <v>470</v>
      </c>
      <c r="M78" s="166"/>
    </row>
    <row r="79" spans="1:13" s="163" customFormat="1" ht="23.4" customHeight="1" x14ac:dyDescent="0.3">
      <c r="A79" s="229" t="s">
        <v>447</v>
      </c>
      <c r="C79" s="163">
        <v>8.6011213971640696</v>
      </c>
      <c r="D79" s="163">
        <v>7.4445218832703883</v>
      </c>
      <c r="E79" s="163">
        <v>5.6791503911653072</v>
      </c>
      <c r="H79" s="164"/>
      <c r="I79" s="165"/>
      <c r="J79" s="164"/>
      <c r="K79" s="223" t="s">
        <v>470</v>
      </c>
      <c r="M79" s="166"/>
    </row>
    <row r="80" spans="1:13" s="163" customFormat="1" ht="23.4" customHeight="1" x14ac:dyDescent="0.3">
      <c r="A80" s="229" t="s">
        <v>448</v>
      </c>
      <c r="C80" s="163">
        <v>0.19791271521571621</v>
      </c>
      <c r="D80" s="163">
        <v>0.25448436407532704</v>
      </c>
      <c r="E80" s="163">
        <v>0.18252182613548959</v>
      </c>
      <c r="H80" s="164"/>
      <c r="I80" s="165"/>
      <c r="J80" s="164"/>
      <c r="K80" s="223" t="s">
        <v>470</v>
      </c>
      <c r="M80" s="166"/>
    </row>
    <row r="81" spans="1:13" s="179" customFormat="1" ht="23.4" customHeight="1" x14ac:dyDescent="0.3">
      <c r="A81" s="178" t="s">
        <v>452</v>
      </c>
      <c r="C81" s="186">
        <v>2022</v>
      </c>
      <c r="D81" s="186">
        <v>2021</v>
      </c>
      <c r="E81" s="198" t="s">
        <v>451</v>
      </c>
      <c r="F81" s="198" t="s">
        <v>453</v>
      </c>
      <c r="G81" s="199" t="s">
        <v>454</v>
      </c>
      <c r="H81" s="180"/>
      <c r="I81" s="181"/>
      <c r="J81" s="180"/>
      <c r="K81" s="223"/>
      <c r="M81" s="182"/>
    </row>
    <row r="82" spans="1:13" s="163" customFormat="1" ht="23.4" customHeight="1" x14ac:dyDescent="0.3">
      <c r="A82" s="162"/>
      <c r="B82" s="163" t="s">
        <v>168</v>
      </c>
      <c r="C82" s="163">
        <v>143644</v>
      </c>
      <c r="D82" s="197">
        <v>170000</v>
      </c>
      <c r="E82" s="163">
        <v>26356</v>
      </c>
      <c r="F82" s="197">
        <v>5</v>
      </c>
      <c r="G82" s="163">
        <v>5</v>
      </c>
      <c r="H82" s="164"/>
      <c r="I82" s="165"/>
      <c r="J82" s="164"/>
      <c r="K82" s="223" t="s">
        <v>471</v>
      </c>
      <c r="M82" s="166"/>
    </row>
    <row r="83" spans="1:13" ht="23.4" customHeight="1" x14ac:dyDescent="0.3">
      <c r="A83" s="208"/>
      <c r="B83" s="163" t="s">
        <v>78</v>
      </c>
      <c r="C83" s="163">
        <v>546530</v>
      </c>
      <c r="D83" s="197">
        <v>450300</v>
      </c>
      <c r="E83" s="163">
        <v>-96230</v>
      </c>
      <c r="F83" s="197">
        <v>3</v>
      </c>
      <c r="G83" s="163">
        <v>3</v>
      </c>
      <c r="K83" s="223" t="s">
        <v>471</v>
      </c>
    </row>
    <row r="84" spans="1:13" ht="23.4" customHeight="1" x14ac:dyDescent="0.3">
      <c r="A84" s="208"/>
      <c r="B84" s="163" t="s">
        <v>181</v>
      </c>
      <c r="C84" s="163">
        <v>144000</v>
      </c>
      <c r="D84" s="197">
        <v>120000</v>
      </c>
      <c r="E84" s="163">
        <v>-24000</v>
      </c>
      <c r="F84" s="197">
        <v>4</v>
      </c>
      <c r="G84" s="163">
        <v>4</v>
      </c>
      <c r="K84" s="223" t="s">
        <v>471</v>
      </c>
    </row>
    <row r="85" spans="1:13" ht="23.4" customHeight="1" x14ac:dyDescent="0.3">
      <c r="A85" s="208"/>
      <c r="B85" s="163" t="s">
        <v>374</v>
      </c>
      <c r="C85" s="163">
        <v>548600</v>
      </c>
      <c r="D85" s="197">
        <v>435500</v>
      </c>
      <c r="E85" s="163">
        <v>-113100</v>
      </c>
      <c r="F85" s="197">
        <v>2</v>
      </c>
      <c r="G85" s="163">
        <v>2</v>
      </c>
      <c r="K85" s="223" t="s">
        <v>471</v>
      </c>
    </row>
    <row r="86" spans="1:13" s="171" customFormat="1" ht="23.4" customHeight="1" x14ac:dyDescent="0.3">
      <c r="A86" s="219"/>
      <c r="B86" s="163" t="s">
        <v>375</v>
      </c>
      <c r="C86" s="163">
        <v>785720</v>
      </c>
      <c r="D86" s="197">
        <v>434640</v>
      </c>
      <c r="E86" s="163">
        <v>-351080</v>
      </c>
      <c r="F86" s="197">
        <v>1</v>
      </c>
      <c r="G86" s="163">
        <v>1</v>
      </c>
      <c r="H86" s="173"/>
      <c r="J86" s="173"/>
      <c r="K86" s="223" t="s">
        <v>471</v>
      </c>
    </row>
    <row r="87" spans="1:13" s="179" customFormat="1" ht="23.4" customHeight="1" x14ac:dyDescent="0.3">
      <c r="A87" s="178" t="s">
        <v>537</v>
      </c>
      <c r="H87" s="180"/>
      <c r="I87" s="181"/>
      <c r="J87" s="180"/>
      <c r="K87" s="223"/>
      <c r="M87" s="182"/>
    </row>
    <row r="88" spans="1:13" s="163" customFormat="1" ht="23.4" customHeight="1" x14ac:dyDescent="0.3">
      <c r="A88" s="162" t="s">
        <v>164</v>
      </c>
      <c r="C88" s="163">
        <v>2427451</v>
      </c>
      <c r="D88" s="163">
        <v>1896411</v>
      </c>
      <c r="E88" s="163">
        <v>1603492</v>
      </c>
      <c r="H88" s="164"/>
      <c r="I88" s="165"/>
      <c r="J88" s="164"/>
      <c r="K88" s="223" t="s">
        <v>470</v>
      </c>
      <c r="M88" s="166"/>
    </row>
    <row r="89" spans="1:13" s="179" customFormat="1" ht="23.4" customHeight="1" x14ac:dyDescent="0.3">
      <c r="A89" s="228" t="s">
        <v>538</v>
      </c>
      <c r="B89" s="185"/>
      <c r="C89" s="186" t="s">
        <v>526</v>
      </c>
      <c r="D89" s="186"/>
      <c r="E89" s="186"/>
      <c r="F89" s="186"/>
      <c r="H89" s="180"/>
      <c r="I89" s="181"/>
      <c r="J89" s="180"/>
      <c r="K89" s="223"/>
      <c r="M89" s="182"/>
    </row>
    <row r="90" spans="1:13" s="163" customFormat="1" ht="23.4" customHeight="1" x14ac:dyDescent="0.3">
      <c r="A90" s="229" t="s">
        <v>86</v>
      </c>
      <c r="C90" s="163">
        <v>326674</v>
      </c>
      <c r="D90" s="163">
        <v>393980</v>
      </c>
      <c r="E90" s="163">
        <v>187624</v>
      </c>
      <c r="H90" s="164"/>
      <c r="I90" s="165"/>
      <c r="J90" s="164"/>
      <c r="K90" s="223" t="s">
        <v>472</v>
      </c>
      <c r="M90" s="166"/>
    </row>
    <row r="91" spans="1:13" ht="23.4" customHeight="1" x14ac:dyDescent="0.3">
      <c r="A91" s="178" t="s">
        <v>457</v>
      </c>
      <c r="B91" s="163"/>
      <c r="C91" s="186">
        <v>2022</v>
      </c>
      <c r="D91" s="186">
        <v>2021</v>
      </c>
      <c r="E91" s="198"/>
      <c r="F91" s="197"/>
      <c r="G91" s="163"/>
      <c r="K91" s="224"/>
    </row>
    <row r="92" spans="1:13" s="171" customFormat="1" ht="23.4" customHeight="1" x14ac:dyDescent="0.3">
      <c r="A92" s="233" t="s">
        <v>22</v>
      </c>
      <c r="B92" s="163"/>
      <c r="C92" s="163">
        <v>1620482</v>
      </c>
      <c r="D92" s="163">
        <v>1670075</v>
      </c>
      <c r="E92" s="163"/>
      <c r="F92" s="197"/>
      <c r="G92" s="163"/>
      <c r="H92" s="173"/>
      <c r="J92" s="173"/>
      <c r="K92" s="223" t="s">
        <v>472</v>
      </c>
    </row>
    <row r="93" spans="1:13" ht="23.4" customHeight="1" x14ac:dyDescent="0.3">
      <c r="A93" s="234" t="s">
        <v>27</v>
      </c>
      <c r="C93" s="163">
        <v>-825000</v>
      </c>
      <c r="D93" s="163">
        <v>-1647250</v>
      </c>
      <c r="E93" s="163"/>
      <c r="K93" s="223" t="s">
        <v>472</v>
      </c>
    </row>
    <row r="94" spans="1:13" ht="23.4" customHeight="1" x14ac:dyDescent="0.3">
      <c r="A94" s="235" t="s">
        <v>30</v>
      </c>
      <c r="C94" s="163">
        <v>-862788</v>
      </c>
      <c r="D94" s="163">
        <v>183531</v>
      </c>
      <c r="E94" s="163"/>
      <c r="K94" s="223" t="s">
        <v>472</v>
      </c>
    </row>
    <row r="95" spans="1:13" ht="23.4" customHeight="1" x14ac:dyDescent="0.3">
      <c r="A95" s="234" t="s">
        <v>87</v>
      </c>
      <c r="C95" s="163">
        <v>-67306</v>
      </c>
      <c r="D95" s="163">
        <v>206356</v>
      </c>
      <c r="E95" s="163"/>
      <c r="K95" s="223" t="s">
        <v>472</v>
      </c>
    </row>
    <row r="96" spans="1:13" ht="23.4" customHeight="1" x14ac:dyDescent="0.3">
      <c r="A96" s="178" t="s">
        <v>462</v>
      </c>
      <c r="B96" s="163"/>
      <c r="C96" s="186">
        <v>2022</v>
      </c>
      <c r="D96" s="186">
        <v>2021</v>
      </c>
      <c r="E96" s="198"/>
      <c r="F96" s="197"/>
      <c r="G96" s="163"/>
      <c r="K96" s="224"/>
    </row>
    <row r="97" spans="1:13" ht="23.4" customHeight="1" x14ac:dyDescent="0.3">
      <c r="A97" s="234" t="s">
        <v>463</v>
      </c>
      <c r="B97" s="161"/>
      <c r="C97" s="163">
        <v>6180097</v>
      </c>
      <c r="D97" s="163">
        <v>6005677</v>
      </c>
      <c r="K97" s="223" t="s">
        <v>473</v>
      </c>
    </row>
    <row r="98" spans="1:13" ht="23.4" customHeight="1" x14ac:dyDescent="0.3">
      <c r="A98" s="234" t="s">
        <v>464</v>
      </c>
      <c r="B98" s="161"/>
      <c r="C98" s="163">
        <v>1332666</v>
      </c>
      <c r="D98" s="163">
        <v>1297357</v>
      </c>
      <c r="K98" s="223" t="s">
        <v>473</v>
      </c>
    </row>
    <row r="99" spans="1:13" ht="23.4" customHeight="1" x14ac:dyDescent="0.3">
      <c r="A99" s="234" t="s">
        <v>15</v>
      </c>
      <c r="B99" s="161"/>
      <c r="C99" s="163">
        <v>7512763</v>
      </c>
      <c r="D99" s="163">
        <v>7303034</v>
      </c>
      <c r="K99" s="223" t="s">
        <v>473</v>
      </c>
    </row>
    <row r="100" spans="1:13" ht="23.4" customHeight="1" x14ac:dyDescent="0.3">
      <c r="A100" s="234" t="s">
        <v>465</v>
      </c>
      <c r="C100" s="163">
        <v>5224874</v>
      </c>
      <c r="D100" s="163">
        <v>4340805</v>
      </c>
      <c r="K100" s="223" t="s">
        <v>473</v>
      </c>
    </row>
    <row r="101" spans="1:13" ht="23.4" customHeight="1" x14ac:dyDescent="0.3">
      <c r="A101" s="234" t="s">
        <v>466</v>
      </c>
      <c r="C101" s="163">
        <v>1317527</v>
      </c>
      <c r="D101" s="163">
        <v>2131482</v>
      </c>
      <c r="K101" s="223" t="s">
        <v>473</v>
      </c>
    </row>
    <row r="102" spans="1:13" ht="23.4" customHeight="1" x14ac:dyDescent="0.3">
      <c r="A102" s="234" t="s">
        <v>467</v>
      </c>
      <c r="C102" s="163">
        <v>970362</v>
      </c>
      <c r="D102" s="163">
        <v>830747</v>
      </c>
      <c r="K102" s="223" t="s">
        <v>473</v>
      </c>
    </row>
    <row r="103" spans="1:13" ht="23.4" customHeight="1" x14ac:dyDescent="0.3">
      <c r="A103" s="234" t="s">
        <v>19</v>
      </c>
      <c r="C103" s="163">
        <v>2287889</v>
      </c>
      <c r="D103" s="163">
        <v>2962229</v>
      </c>
      <c r="K103" s="223" t="s">
        <v>473</v>
      </c>
    </row>
    <row r="104" spans="1:13" ht="23.4" customHeight="1" x14ac:dyDescent="0.3">
      <c r="A104" s="234" t="s">
        <v>20</v>
      </c>
      <c r="C104" s="163">
        <v>7512763</v>
      </c>
      <c r="D104" s="163">
        <v>7303034</v>
      </c>
      <c r="K104" s="223" t="s">
        <v>473</v>
      </c>
    </row>
    <row r="105" spans="1:13" s="179" customFormat="1" ht="23.4" customHeight="1" x14ac:dyDescent="0.3">
      <c r="A105" s="228" t="s">
        <v>539</v>
      </c>
      <c r="B105" s="185"/>
      <c r="C105" s="237" t="s">
        <v>450</v>
      </c>
      <c r="D105" s="181" t="s">
        <v>439</v>
      </c>
      <c r="E105" s="181" t="s">
        <v>440</v>
      </c>
      <c r="F105" s="184" t="s">
        <v>441</v>
      </c>
      <c r="H105" s="180"/>
      <c r="I105" s="181"/>
      <c r="J105" s="180"/>
      <c r="K105" s="223"/>
      <c r="M105" s="182"/>
    </row>
    <row r="106" spans="1:13" s="163" customFormat="1" ht="23.4" customHeight="1" x14ac:dyDescent="0.3">
      <c r="A106" s="229" t="s">
        <v>540</v>
      </c>
      <c r="C106" s="236">
        <v>1.3733699382292381</v>
      </c>
      <c r="D106" s="172">
        <v>75.225563909774436</v>
      </c>
      <c r="E106" s="172">
        <v>54.774436090225564</v>
      </c>
      <c r="F106" s="171">
        <v>30</v>
      </c>
      <c r="H106" s="164"/>
      <c r="I106" s="165"/>
      <c r="J106" s="164"/>
      <c r="K106" s="224" t="s">
        <v>474</v>
      </c>
      <c r="M106" s="166"/>
    </row>
    <row r="107" spans="1:13" ht="23.4" customHeight="1" x14ac:dyDescent="0.3">
      <c r="A107" s="228" t="s">
        <v>541</v>
      </c>
      <c r="B107" s="185"/>
      <c r="C107" s="237" t="s">
        <v>450</v>
      </c>
      <c r="D107" s="181" t="s">
        <v>439</v>
      </c>
      <c r="E107" s="181" t="s">
        <v>440</v>
      </c>
      <c r="F107" s="184" t="s">
        <v>441</v>
      </c>
      <c r="K107" s="224"/>
    </row>
    <row r="108" spans="1:13" ht="23.4" customHeight="1" x14ac:dyDescent="0.3">
      <c r="A108" s="229" t="s">
        <v>542</v>
      </c>
      <c r="B108" s="163"/>
      <c r="C108" s="236">
        <v>0.43788405232355843</v>
      </c>
      <c r="D108" s="172">
        <v>39.589372112497102</v>
      </c>
      <c r="E108" s="172">
        <v>90.410627887502898</v>
      </c>
      <c r="F108" s="171">
        <v>30</v>
      </c>
      <c r="K108" s="224" t="s">
        <v>474</v>
      </c>
    </row>
    <row r="109" spans="1:13" ht="23.4" customHeight="1" x14ac:dyDescent="0.3">
      <c r="A109" s="228" t="s">
        <v>543</v>
      </c>
      <c r="B109" s="185"/>
      <c r="C109" s="237" t="s">
        <v>449</v>
      </c>
      <c r="D109" s="181" t="s">
        <v>439</v>
      </c>
      <c r="E109" s="181" t="s">
        <v>440</v>
      </c>
      <c r="F109" s="184" t="s">
        <v>441</v>
      </c>
      <c r="K109" s="224"/>
    </row>
    <row r="110" spans="1:13" ht="23.4" customHeight="1" x14ac:dyDescent="0.3">
      <c r="A110" s="229" t="s">
        <v>544</v>
      </c>
      <c r="B110" s="163"/>
      <c r="C110" s="231">
        <v>15.805649944110733</v>
      </c>
      <c r="D110" s="172">
        <v>20.547344927343953</v>
      </c>
      <c r="E110" s="172">
        <v>109.45265507265604</v>
      </c>
      <c r="F110" s="171">
        <v>30</v>
      </c>
      <c r="K110" s="224" t="s">
        <v>474</v>
      </c>
    </row>
    <row r="111" spans="1:13" ht="23.4" customHeight="1" x14ac:dyDescent="0.3">
      <c r="A111" s="208"/>
      <c r="K111" s="222"/>
    </row>
    <row r="112" spans="1:13" ht="23.4" customHeight="1" x14ac:dyDescent="0.3">
      <c r="A112" s="208"/>
      <c r="K112" s="222"/>
    </row>
    <row r="113" spans="1:11" ht="23.4" customHeight="1" x14ac:dyDescent="0.3">
      <c r="A113" s="208"/>
      <c r="K113" s="222"/>
    </row>
    <row r="114" spans="1:11" ht="23.4" customHeight="1" x14ac:dyDescent="0.3">
      <c r="A114" s="208"/>
      <c r="K114" s="222"/>
    </row>
    <row r="115" spans="1:11" ht="23.4" customHeight="1" x14ac:dyDescent="0.3">
      <c r="A115" s="208"/>
      <c r="K115" s="222"/>
    </row>
    <row r="116" spans="1:11" ht="23.4" customHeight="1" x14ac:dyDescent="0.3">
      <c r="A116" s="208"/>
      <c r="K116" s="222"/>
    </row>
    <row r="117" spans="1:11" ht="23.4" customHeight="1" x14ac:dyDescent="0.3">
      <c r="A117" s="208"/>
      <c r="K117" s="222"/>
    </row>
    <row r="118" spans="1:11" ht="23.4" customHeight="1" x14ac:dyDescent="0.3">
      <c r="A118" s="208"/>
      <c r="K118" s="222"/>
    </row>
    <row r="119" spans="1:11" ht="23.4" customHeight="1" x14ac:dyDescent="0.3">
      <c r="A119" s="208"/>
      <c r="K119" s="222"/>
    </row>
    <row r="120" spans="1:11" ht="23.4" customHeight="1" x14ac:dyDescent="0.3">
      <c r="A120" s="208"/>
      <c r="K120" s="222"/>
    </row>
    <row r="121" spans="1:11" ht="23.4" customHeight="1" x14ac:dyDescent="0.3">
      <c r="A121" s="208"/>
    </row>
    <row r="122" spans="1:11" ht="23.4" customHeight="1" x14ac:dyDescent="0.3">
      <c r="A122" s="208"/>
    </row>
    <row r="123" spans="1:11" ht="23.4" customHeight="1" x14ac:dyDescent="0.3">
      <c r="A123" s="208"/>
    </row>
    <row r="124" spans="1:11" ht="23.4" customHeight="1" x14ac:dyDescent="0.3">
      <c r="A124" s="208"/>
    </row>
    <row r="125" spans="1:11" ht="23.4" customHeight="1" x14ac:dyDescent="0.3">
      <c r="A125" s="208"/>
    </row>
    <row r="126" spans="1:11" ht="23.4" customHeight="1" x14ac:dyDescent="0.3">
      <c r="A126" s="208"/>
    </row>
    <row r="127" spans="1:11" ht="23.4" customHeight="1" x14ac:dyDescent="0.3">
      <c r="A127" s="208"/>
    </row>
    <row r="128" spans="1:11" ht="23.4" customHeight="1" x14ac:dyDescent="0.3">
      <c r="A128" s="208"/>
    </row>
    <row r="129" spans="1:1" ht="23.4" customHeight="1" x14ac:dyDescent="0.3">
      <c r="A129" s="208"/>
    </row>
    <row r="130" spans="1:1" ht="23.4" customHeight="1" x14ac:dyDescent="0.3">
      <c r="A130" s="208"/>
    </row>
    <row r="131" spans="1:1" ht="23.4" customHeight="1" x14ac:dyDescent="0.3">
      <c r="A131" s="208"/>
    </row>
    <row r="132" spans="1:1" ht="23.4" customHeight="1" x14ac:dyDescent="0.3">
      <c r="A132" s="208"/>
    </row>
    <row r="133" spans="1:1" ht="23.4" customHeight="1" x14ac:dyDescent="0.3">
      <c r="A133" s="208"/>
    </row>
    <row r="134" spans="1:1" ht="23.4" customHeight="1" x14ac:dyDescent="0.3">
      <c r="A134" s="208"/>
    </row>
    <row r="135" spans="1:1" ht="23.4" customHeight="1" x14ac:dyDescent="0.3">
      <c r="A135" s="208"/>
    </row>
    <row r="136" spans="1:1" ht="23.4" customHeight="1" x14ac:dyDescent="0.3">
      <c r="A136" s="208"/>
    </row>
    <row r="137" spans="1:1" ht="23.4" customHeight="1" x14ac:dyDescent="0.3">
      <c r="A137" s="208"/>
    </row>
    <row r="138" spans="1:1" ht="23.4" customHeight="1" x14ac:dyDescent="0.3">
      <c r="A138" s="208"/>
    </row>
    <row r="139" spans="1:1" ht="23.4" customHeight="1" x14ac:dyDescent="0.3">
      <c r="A139" s="208"/>
    </row>
    <row r="140" spans="1:1" ht="23.4" customHeight="1" x14ac:dyDescent="0.3">
      <c r="A140" s="208"/>
    </row>
    <row r="141" spans="1:1" ht="23.4" customHeight="1" x14ac:dyDescent="0.3">
      <c r="A141" s="208"/>
    </row>
    <row r="142" spans="1:1" ht="23.4" customHeight="1" x14ac:dyDescent="0.3">
      <c r="A142" s="208"/>
    </row>
    <row r="143" spans="1:1" ht="23.4" customHeight="1" x14ac:dyDescent="0.3">
      <c r="A143" s="208"/>
    </row>
    <row r="144" spans="1:1" ht="23.4" customHeight="1" x14ac:dyDescent="0.3">
      <c r="A144" s="208"/>
    </row>
    <row r="145" spans="1:1" ht="23.4" customHeight="1" x14ac:dyDescent="0.3">
      <c r="A145" s="208"/>
    </row>
    <row r="146" spans="1:1" ht="23.4" customHeight="1" x14ac:dyDescent="0.3">
      <c r="A146" s="208"/>
    </row>
    <row r="147" spans="1:1" ht="23.4" customHeight="1" x14ac:dyDescent="0.3">
      <c r="A147" s="208"/>
    </row>
    <row r="148" spans="1:1" ht="23.4" customHeight="1" x14ac:dyDescent="0.3">
      <c r="A148" s="208"/>
    </row>
    <row r="149" spans="1:1" ht="23.4" customHeight="1" x14ac:dyDescent="0.3">
      <c r="A149" s="208"/>
    </row>
    <row r="150" spans="1:1" ht="23.4" customHeight="1" x14ac:dyDescent="0.3">
      <c r="A150" s="208"/>
    </row>
  </sheetData>
  <sheetProtection algorithmName="SHA-512" hashValue="IRPhtUqke7Db3wA2n5aCms7vOI68F0yVdJgeAic47uqADfJd7v8eUe6ip7u1mhGgQFaR1l4/MQeKjqIuYZFDIg==" saltValue="rO2I1t8xohgUDHRVtcEmnA==" spinCount="100000" sheet="1" objects="1" scenarios="1"/>
  <mergeCells count="34">
    <mergeCell ref="B31:D38"/>
    <mergeCell ref="G31:K32"/>
    <mergeCell ref="G14:G21"/>
    <mergeCell ref="H14:K21"/>
    <mergeCell ref="B22:E23"/>
    <mergeCell ref="F22:K23"/>
    <mergeCell ref="G24:I24"/>
    <mergeCell ref="C2:F3"/>
    <mergeCell ref="B2:B5"/>
    <mergeCell ref="C4:F5"/>
    <mergeCell ref="G2:K3"/>
    <mergeCell ref="E6:F13"/>
    <mergeCell ref="B6:D13"/>
    <mergeCell ref="E48:F48"/>
    <mergeCell ref="E49:F49"/>
    <mergeCell ref="G39:G46"/>
    <mergeCell ref="H39:K46"/>
    <mergeCell ref="I50:K50"/>
    <mergeCell ref="E31:F32"/>
    <mergeCell ref="E34:F35"/>
    <mergeCell ref="B39:D40"/>
    <mergeCell ref="E39:F46"/>
    <mergeCell ref="I51:K51"/>
    <mergeCell ref="G51:H51"/>
    <mergeCell ref="E51:F51"/>
    <mergeCell ref="E50:F50"/>
    <mergeCell ref="G47:H47"/>
    <mergeCell ref="G48:H48"/>
    <mergeCell ref="G49:H49"/>
    <mergeCell ref="G50:H50"/>
    <mergeCell ref="I47:K47"/>
    <mergeCell ref="I48:K48"/>
    <mergeCell ref="I49:K49"/>
    <mergeCell ref="E47:F47"/>
  </mergeCells>
  <conditionalFormatting sqref="H5:H12">
    <cfRule type="expression" dxfId="6" priority="3">
      <formula>I5&lt;0</formula>
    </cfRule>
    <cfRule type="expression" dxfId="5" priority="4">
      <formula>I5&gt;0</formula>
    </cfRule>
  </conditionalFormatting>
  <conditionalFormatting sqref="J5:J12">
    <cfRule type="expression" dxfId="4" priority="1">
      <formula>K5&lt;0</formula>
    </cfRule>
    <cfRule type="expression" dxfId="3" priority="2">
      <formula>K5&gt;0</formula>
    </cfRule>
  </conditionalFormatting>
  <dataValidations disablePrompts="1" count="2">
    <dataValidation type="list" allowBlank="1" showInputMessage="1" showErrorMessage="1" sqref="G24" xr:uid="{DA6A78F3-09B3-4E05-9246-B69E3D3C1FC1}">
      <formula1>ExpenseList</formula1>
    </dataValidation>
    <dataValidation type="list" allowBlank="1" showInputMessage="1" showErrorMessage="1" sqref="C107 C66 C109 C70 C105" xr:uid="{DCCB5392-2F38-4724-BA0E-6C94B4D8BDE3}">
      <formula1>"%,V1"</formula1>
    </dataValidation>
  </dataValidations>
  <pageMargins left="0.70866141732283472" right="0.70866141732283472" top="0.74803149606299213" bottom="0.74803149606299213" header="0.31496062992125984" footer="0.31496062992125984"/>
  <pageSetup paperSize="9" scale="46"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E92"/>
  <sheetViews>
    <sheetView zoomScale="95" zoomScaleNormal="95" workbookViewId="0">
      <pane ySplit="4" topLeftCell="A5" activePane="bottomLeft" state="frozen"/>
      <selection pane="bottomLeft" activeCell="A4" sqref="A4"/>
    </sheetView>
  </sheetViews>
  <sheetFormatPr defaultColWidth="9.109375" defaultRowHeight="16.05" customHeight="1" x14ac:dyDescent="0.25"/>
  <cols>
    <col min="1" max="1" width="12.6640625" style="11" customWidth="1"/>
    <col min="2" max="2" width="45.77734375" style="11" customWidth="1"/>
    <col min="3" max="3" width="16.6640625" style="25" customWidth="1"/>
    <col min="4" max="4" width="16.6640625" style="18" customWidth="1"/>
    <col min="5" max="5" width="15.6640625" style="25" customWidth="1"/>
    <col min="6" max="15" width="15.6640625" style="11" customWidth="1"/>
    <col min="16" max="16384" width="9.109375" style="11"/>
  </cols>
  <sheetData>
    <row r="1" spans="1:5" ht="16.05" customHeight="1" x14ac:dyDescent="0.25">
      <c r="A1" s="7" t="s">
        <v>517</v>
      </c>
      <c r="B1" s="55"/>
      <c r="C1" s="54"/>
    </row>
    <row r="2" spans="1:5" ht="16.05" customHeight="1" x14ac:dyDescent="0.25">
      <c r="A2" s="12" t="s">
        <v>96</v>
      </c>
      <c r="B2" s="12"/>
      <c r="C2" s="88"/>
    </row>
    <row r="3" spans="1:5" ht="16.05" customHeight="1" x14ac:dyDescent="0.25">
      <c r="A3" s="13" t="s">
        <v>518</v>
      </c>
      <c r="B3" s="13"/>
      <c r="C3" s="25">
        <v>0</v>
      </c>
      <c r="D3" s="18" t="s">
        <v>519</v>
      </c>
      <c r="E3" s="25">
        <v>0</v>
      </c>
    </row>
    <row r="4" spans="1:5" s="89" customFormat="1" ht="18" customHeight="1" x14ac:dyDescent="0.25">
      <c r="A4" s="19" t="s">
        <v>33</v>
      </c>
      <c r="B4" s="19" t="s">
        <v>6</v>
      </c>
      <c r="C4" s="29" t="s">
        <v>94</v>
      </c>
      <c r="D4" s="28" t="s">
        <v>95</v>
      </c>
      <c r="E4" s="41" t="s">
        <v>94</v>
      </c>
    </row>
    <row r="5" spans="1:5" ht="16.05" customHeight="1" x14ac:dyDescent="0.25">
      <c r="A5" s="11" t="s">
        <v>241</v>
      </c>
      <c r="B5" s="11" t="s">
        <v>104</v>
      </c>
      <c r="C5" s="25">
        <v>2400000</v>
      </c>
      <c r="D5" s="90" t="s">
        <v>519</v>
      </c>
      <c r="E5" s="25">
        <v>2400000</v>
      </c>
    </row>
    <row r="6" spans="1:5" ht="16.05" customHeight="1" x14ac:dyDescent="0.25">
      <c r="A6" s="11" t="s">
        <v>242</v>
      </c>
      <c r="B6" s="11" t="s">
        <v>105</v>
      </c>
      <c r="C6" s="25">
        <v>1546045</v>
      </c>
      <c r="D6" s="90" t="s">
        <v>519</v>
      </c>
      <c r="E6" s="25">
        <v>1546045</v>
      </c>
    </row>
    <row r="7" spans="1:5" ht="16.05" customHeight="1" x14ac:dyDescent="0.25">
      <c r="A7" s="11" t="s">
        <v>243</v>
      </c>
      <c r="B7" s="11" t="s">
        <v>106</v>
      </c>
      <c r="C7" s="25">
        <v>410000</v>
      </c>
      <c r="D7" s="90" t="s">
        <v>519</v>
      </c>
      <c r="E7" s="25">
        <v>410000</v>
      </c>
    </row>
    <row r="8" spans="1:5" ht="16.05" customHeight="1" x14ac:dyDescent="0.25">
      <c r="A8" s="11" t="s">
        <v>244</v>
      </c>
      <c r="B8" s="11" t="s">
        <v>245</v>
      </c>
      <c r="C8" s="25">
        <v>240000</v>
      </c>
      <c r="D8" s="90" t="s">
        <v>519</v>
      </c>
      <c r="E8" s="25">
        <v>240000</v>
      </c>
    </row>
    <row r="9" spans="1:5" ht="16.05" customHeight="1" x14ac:dyDescent="0.25">
      <c r="A9" s="11" t="s">
        <v>246</v>
      </c>
      <c r="B9" s="11" t="s">
        <v>247</v>
      </c>
      <c r="C9" s="25">
        <v>165500</v>
      </c>
      <c r="D9" s="90" t="s">
        <v>519</v>
      </c>
      <c r="E9" s="25">
        <v>165500</v>
      </c>
    </row>
    <row r="10" spans="1:5" ht="16.05" customHeight="1" x14ac:dyDescent="0.25">
      <c r="A10" s="11" t="s">
        <v>248</v>
      </c>
      <c r="B10" s="11" t="s">
        <v>249</v>
      </c>
      <c r="C10" s="25">
        <v>452000</v>
      </c>
      <c r="D10" s="90" t="s">
        <v>519</v>
      </c>
      <c r="E10" s="25">
        <v>452000</v>
      </c>
    </row>
    <row r="11" spans="1:5" ht="16.05" customHeight="1" x14ac:dyDescent="0.25">
      <c r="A11" s="11" t="s">
        <v>250</v>
      </c>
      <c r="B11" s="11" t="s">
        <v>107</v>
      </c>
      <c r="C11" s="25">
        <v>0</v>
      </c>
      <c r="D11" s="90" t="s">
        <v>519</v>
      </c>
      <c r="E11" s="25">
        <v>0</v>
      </c>
    </row>
    <row r="12" spans="1:5" ht="16.05" customHeight="1" x14ac:dyDescent="0.25">
      <c r="A12" s="11" t="s">
        <v>251</v>
      </c>
      <c r="B12" s="11" t="s">
        <v>108</v>
      </c>
      <c r="C12" s="25">
        <v>-1051018</v>
      </c>
      <c r="D12" s="90" t="s">
        <v>519</v>
      </c>
      <c r="E12" s="25">
        <v>-1051018</v>
      </c>
    </row>
    <row r="13" spans="1:5" ht="16.05" customHeight="1" x14ac:dyDescent="0.25">
      <c r="A13" s="11" t="s">
        <v>252</v>
      </c>
      <c r="B13" s="11" t="s">
        <v>109</v>
      </c>
      <c r="C13" s="25">
        <v>-224700</v>
      </c>
      <c r="D13" s="90" t="s">
        <v>519</v>
      </c>
      <c r="E13" s="25">
        <v>-224700</v>
      </c>
    </row>
    <row r="14" spans="1:5" ht="16.05" customHeight="1" x14ac:dyDescent="0.25">
      <c r="A14" s="11" t="s">
        <v>253</v>
      </c>
      <c r="B14" s="11" t="s">
        <v>254</v>
      </c>
      <c r="C14" s="25">
        <v>-186980</v>
      </c>
      <c r="D14" s="90" t="s">
        <v>519</v>
      </c>
      <c r="E14" s="25">
        <v>-186980</v>
      </c>
    </row>
    <row r="15" spans="1:5" ht="16.05" customHeight="1" x14ac:dyDescent="0.25">
      <c r="A15" s="11" t="s">
        <v>255</v>
      </c>
      <c r="B15" s="11" t="s">
        <v>256</v>
      </c>
      <c r="C15" s="25">
        <v>-145550</v>
      </c>
      <c r="D15" s="90" t="s">
        <v>519</v>
      </c>
      <c r="E15" s="25">
        <v>-145550</v>
      </c>
    </row>
    <row r="16" spans="1:5" ht="16.05" customHeight="1" x14ac:dyDescent="0.25">
      <c r="A16" s="11" t="s">
        <v>257</v>
      </c>
      <c r="B16" s="11" t="s">
        <v>258</v>
      </c>
      <c r="C16" s="25">
        <v>-56500</v>
      </c>
      <c r="D16" s="90" t="s">
        <v>519</v>
      </c>
      <c r="E16" s="25">
        <v>-56500</v>
      </c>
    </row>
    <row r="17" spans="1:5" ht="16.05" customHeight="1" x14ac:dyDescent="0.25">
      <c r="A17" s="11" t="s">
        <v>259</v>
      </c>
      <c r="B17" s="11" t="s">
        <v>110</v>
      </c>
      <c r="C17" s="25">
        <v>500000</v>
      </c>
      <c r="D17" s="90" t="s">
        <v>519</v>
      </c>
      <c r="E17" s="25">
        <v>500000</v>
      </c>
    </row>
    <row r="18" spans="1:5" ht="16.05" customHeight="1" x14ac:dyDescent="0.25">
      <c r="A18" s="11" t="s">
        <v>260</v>
      </c>
      <c r="B18" s="11" t="s">
        <v>111</v>
      </c>
      <c r="C18" s="25">
        <v>390500</v>
      </c>
      <c r="D18" s="90" t="s">
        <v>519</v>
      </c>
      <c r="E18" s="25">
        <v>390500</v>
      </c>
    </row>
    <row r="19" spans="1:5" ht="16.05" customHeight="1" x14ac:dyDescent="0.25">
      <c r="A19" s="11" t="s">
        <v>261</v>
      </c>
      <c r="B19" s="11" t="s">
        <v>112</v>
      </c>
      <c r="C19" s="25">
        <v>150000</v>
      </c>
      <c r="D19" s="90" t="s">
        <v>519</v>
      </c>
      <c r="E19" s="25">
        <v>150000</v>
      </c>
    </row>
    <row r="20" spans="1:5" ht="16.05" customHeight="1" x14ac:dyDescent="0.25">
      <c r="A20" s="11" t="s">
        <v>262</v>
      </c>
      <c r="B20" s="11" t="s">
        <v>113</v>
      </c>
      <c r="C20" s="25">
        <v>-200000</v>
      </c>
      <c r="D20" s="90" t="s">
        <v>519</v>
      </c>
      <c r="E20" s="25">
        <v>-200000</v>
      </c>
    </row>
    <row r="21" spans="1:5" ht="16.05" customHeight="1" x14ac:dyDescent="0.25">
      <c r="A21" s="11" t="s">
        <v>263</v>
      </c>
      <c r="B21" s="11" t="s">
        <v>114</v>
      </c>
      <c r="C21" s="25">
        <v>-156200</v>
      </c>
      <c r="D21" s="90" t="s">
        <v>519</v>
      </c>
      <c r="E21" s="25">
        <v>-156200</v>
      </c>
    </row>
    <row r="22" spans="1:5" ht="16.05" customHeight="1" x14ac:dyDescent="0.25">
      <c r="A22" s="11" t="s">
        <v>264</v>
      </c>
      <c r="B22" s="11" t="s">
        <v>115</v>
      </c>
      <c r="C22" s="25">
        <v>-60000</v>
      </c>
      <c r="D22" s="90" t="s">
        <v>519</v>
      </c>
      <c r="E22" s="25">
        <v>-60000</v>
      </c>
    </row>
    <row r="23" spans="1:5" ht="16.05" customHeight="1" x14ac:dyDescent="0.25">
      <c r="A23" s="11" t="s">
        <v>265</v>
      </c>
      <c r="B23" s="11" t="s">
        <v>266</v>
      </c>
      <c r="C23" s="25">
        <v>802500</v>
      </c>
      <c r="D23" s="90" t="s">
        <v>519</v>
      </c>
      <c r="E23" s="25">
        <v>802500</v>
      </c>
    </row>
    <row r="24" spans="1:5" ht="16.05" customHeight="1" x14ac:dyDescent="0.25">
      <c r="A24" s="11" t="s">
        <v>267</v>
      </c>
      <c r="B24" s="11" t="s">
        <v>268</v>
      </c>
      <c r="C24" s="25">
        <v>1500000</v>
      </c>
      <c r="D24" s="90" t="s">
        <v>519</v>
      </c>
      <c r="E24" s="25">
        <v>1500000</v>
      </c>
    </row>
    <row r="25" spans="1:5" ht="16.05" customHeight="1" x14ac:dyDescent="0.25">
      <c r="A25" s="11" t="s">
        <v>269</v>
      </c>
      <c r="B25" s="11" t="s">
        <v>270</v>
      </c>
      <c r="C25" s="25">
        <v>60000</v>
      </c>
      <c r="D25" s="90" t="s">
        <v>519</v>
      </c>
      <c r="E25" s="25">
        <v>60000</v>
      </c>
    </row>
    <row r="26" spans="1:5" ht="16.05" customHeight="1" x14ac:dyDescent="0.25">
      <c r="A26" s="11" t="s">
        <v>271</v>
      </c>
      <c r="B26" s="11" t="s">
        <v>272</v>
      </c>
      <c r="C26" s="25">
        <v>0</v>
      </c>
      <c r="D26" s="90" t="s">
        <v>519</v>
      </c>
      <c r="E26" s="25">
        <v>0</v>
      </c>
    </row>
    <row r="27" spans="1:5" ht="16.05" customHeight="1" x14ac:dyDescent="0.25">
      <c r="A27" s="11" t="s">
        <v>273</v>
      </c>
      <c r="B27" s="11" t="s">
        <v>274</v>
      </c>
      <c r="C27" s="25">
        <v>0</v>
      </c>
      <c r="D27" s="90" t="s">
        <v>519</v>
      </c>
      <c r="E27" s="25">
        <v>0</v>
      </c>
    </row>
    <row r="28" spans="1:5" ht="16.05" customHeight="1" x14ac:dyDescent="0.25">
      <c r="A28" s="11" t="s">
        <v>275</v>
      </c>
      <c r="B28" s="11" t="s">
        <v>276</v>
      </c>
      <c r="C28" s="25">
        <v>0</v>
      </c>
      <c r="D28" s="90" t="s">
        <v>519</v>
      </c>
      <c r="E28" s="25">
        <v>0</v>
      </c>
    </row>
    <row r="29" spans="1:5" ht="16.05" customHeight="1" x14ac:dyDescent="0.25">
      <c r="A29" s="11" t="s">
        <v>277</v>
      </c>
      <c r="B29" s="11" t="s">
        <v>117</v>
      </c>
      <c r="C29" s="25">
        <v>24000</v>
      </c>
      <c r="D29" s="90" t="s">
        <v>519</v>
      </c>
      <c r="E29" s="25">
        <v>24000</v>
      </c>
    </row>
    <row r="30" spans="1:5" ht="16.05" customHeight="1" x14ac:dyDescent="0.25">
      <c r="A30" s="11" t="s">
        <v>278</v>
      </c>
      <c r="B30" s="11" t="s">
        <v>118</v>
      </c>
      <c r="C30" s="25">
        <v>85200</v>
      </c>
      <c r="D30" s="90" t="s">
        <v>519</v>
      </c>
      <c r="E30" s="25">
        <v>85200</v>
      </c>
    </row>
    <row r="31" spans="1:5" ht="16.05" customHeight="1" x14ac:dyDescent="0.25">
      <c r="A31" s="11" t="s">
        <v>279</v>
      </c>
      <c r="B31" s="11" t="s">
        <v>119</v>
      </c>
      <c r="C31" s="25">
        <v>22653</v>
      </c>
      <c r="D31" s="90" t="s">
        <v>519</v>
      </c>
      <c r="E31" s="25">
        <v>22653</v>
      </c>
    </row>
    <row r="32" spans="1:5" ht="16.05" customHeight="1" x14ac:dyDescent="0.25">
      <c r="A32" s="11" t="s">
        <v>280</v>
      </c>
      <c r="B32" s="11" t="s">
        <v>120</v>
      </c>
      <c r="C32" s="25">
        <v>0</v>
      </c>
      <c r="D32" s="90" t="s">
        <v>519</v>
      </c>
      <c r="E32" s="25">
        <v>0</v>
      </c>
    </row>
    <row r="33" spans="1:5" ht="16.05" customHeight="1" x14ac:dyDescent="0.25">
      <c r="A33" s="11" t="s">
        <v>281</v>
      </c>
      <c r="B33" s="11" t="s">
        <v>116</v>
      </c>
      <c r="C33" s="25">
        <v>0</v>
      </c>
      <c r="D33" s="90" t="s">
        <v>519</v>
      </c>
      <c r="E33" s="25">
        <v>0</v>
      </c>
    </row>
    <row r="34" spans="1:5" ht="16.05" customHeight="1" x14ac:dyDescent="0.25">
      <c r="A34" s="11" t="s">
        <v>282</v>
      </c>
      <c r="B34" s="11" t="s">
        <v>121</v>
      </c>
      <c r="C34" s="25">
        <v>-90365</v>
      </c>
      <c r="D34" s="90" t="s">
        <v>519</v>
      </c>
      <c r="E34" s="25">
        <v>-90365</v>
      </c>
    </row>
    <row r="35" spans="1:5" ht="16.05" customHeight="1" x14ac:dyDescent="0.25">
      <c r="A35" s="11" t="s">
        <v>283</v>
      </c>
      <c r="B35" s="11" t="s">
        <v>284</v>
      </c>
      <c r="C35" s="25">
        <v>-20572</v>
      </c>
      <c r="D35" s="90" t="s">
        <v>519</v>
      </c>
      <c r="E35" s="25">
        <v>-20572</v>
      </c>
    </row>
    <row r="36" spans="1:5" ht="16.05" customHeight="1" x14ac:dyDescent="0.25">
      <c r="A36" s="11" t="s">
        <v>285</v>
      </c>
      <c r="B36" s="11" t="s">
        <v>90</v>
      </c>
      <c r="C36" s="25">
        <v>-16185</v>
      </c>
      <c r="D36" s="90" t="s">
        <v>519</v>
      </c>
      <c r="E36" s="25">
        <v>-16185</v>
      </c>
    </row>
    <row r="37" spans="1:5" ht="16.05" customHeight="1" x14ac:dyDescent="0.25">
      <c r="A37" s="11" t="s">
        <v>286</v>
      </c>
      <c r="B37" s="11" t="s">
        <v>91</v>
      </c>
      <c r="C37" s="25">
        <v>-150000</v>
      </c>
      <c r="D37" s="90" t="s">
        <v>519</v>
      </c>
      <c r="E37" s="25">
        <v>-150000</v>
      </c>
    </row>
    <row r="38" spans="1:5" ht="16.05" customHeight="1" x14ac:dyDescent="0.25">
      <c r="A38" s="11" t="s">
        <v>287</v>
      </c>
      <c r="B38" s="11" t="s">
        <v>288</v>
      </c>
      <c r="C38" s="25">
        <v>-215724</v>
      </c>
      <c r="D38" s="90" t="s">
        <v>519</v>
      </c>
      <c r="E38" s="25">
        <v>-215724</v>
      </c>
    </row>
    <row r="39" spans="1:5" ht="16.05" customHeight="1" x14ac:dyDescent="0.25">
      <c r="A39" s="11" t="s">
        <v>289</v>
      </c>
      <c r="B39" s="11" t="s">
        <v>232</v>
      </c>
      <c r="C39" s="25">
        <v>-214823</v>
      </c>
      <c r="D39" s="90" t="s">
        <v>519</v>
      </c>
      <c r="E39" s="25">
        <v>-214823</v>
      </c>
    </row>
    <row r="40" spans="1:5" ht="16.05" customHeight="1" x14ac:dyDescent="0.25">
      <c r="A40" s="11" t="s">
        <v>290</v>
      </c>
      <c r="B40" s="11" t="s">
        <v>291</v>
      </c>
      <c r="C40" s="25">
        <v>-75891</v>
      </c>
      <c r="D40" s="90" t="s">
        <v>519</v>
      </c>
      <c r="E40" s="25">
        <v>-75891</v>
      </c>
    </row>
    <row r="41" spans="1:5" ht="16.05" customHeight="1" x14ac:dyDescent="0.25">
      <c r="A41" s="11" t="s">
        <v>292</v>
      </c>
      <c r="B41" s="11" t="s">
        <v>293</v>
      </c>
      <c r="C41" s="25">
        <v>-604187</v>
      </c>
      <c r="D41" s="90" t="s">
        <v>519</v>
      </c>
      <c r="E41" s="25">
        <v>-604187</v>
      </c>
    </row>
    <row r="42" spans="1:5" ht="16.05" customHeight="1" x14ac:dyDescent="0.25">
      <c r="A42" s="11" t="s">
        <v>294</v>
      </c>
      <c r="B42" s="11" t="s">
        <v>295</v>
      </c>
      <c r="C42" s="25">
        <v>-661805</v>
      </c>
      <c r="D42" s="90" t="s">
        <v>519</v>
      </c>
      <c r="E42" s="25">
        <v>-661805</v>
      </c>
    </row>
    <row r="43" spans="1:5" ht="16.05" customHeight="1" x14ac:dyDescent="0.25">
      <c r="A43" s="11" t="s">
        <v>296</v>
      </c>
      <c r="B43" s="11" t="s">
        <v>122</v>
      </c>
      <c r="C43" s="25">
        <v>-416240</v>
      </c>
      <c r="D43" s="90" t="s">
        <v>519</v>
      </c>
      <c r="E43" s="25">
        <v>-416240</v>
      </c>
    </row>
    <row r="44" spans="1:5" ht="16.05" customHeight="1" x14ac:dyDescent="0.25">
      <c r="A44" s="11" t="s">
        <v>297</v>
      </c>
      <c r="B44" s="11" t="s">
        <v>298</v>
      </c>
      <c r="C44" s="25">
        <v>0</v>
      </c>
      <c r="D44" s="90" t="s">
        <v>519</v>
      </c>
      <c r="E44" s="25">
        <v>0</v>
      </c>
    </row>
    <row r="45" spans="1:5" ht="16.05" customHeight="1" x14ac:dyDescent="0.25">
      <c r="A45" s="11" t="s">
        <v>299</v>
      </c>
      <c r="B45" s="11" t="s">
        <v>300</v>
      </c>
      <c r="C45" s="25">
        <v>-1000</v>
      </c>
      <c r="D45" s="90" t="s">
        <v>519</v>
      </c>
      <c r="E45" s="25">
        <v>-1000</v>
      </c>
    </row>
    <row r="46" spans="1:5" ht="16.05" customHeight="1" x14ac:dyDescent="0.25">
      <c r="A46" s="11" t="s">
        <v>301</v>
      </c>
      <c r="B46" s="11" t="s">
        <v>123</v>
      </c>
      <c r="C46" s="25">
        <v>33790</v>
      </c>
      <c r="D46" s="90" t="s">
        <v>519</v>
      </c>
      <c r="E46" s="25">
        <v>33790</v>
      </c>
    </row>
    <row r="47" spans="1:5" ht="16.05" customHeight="1" x14ac:dyDescent="0.25">
      <c r="A47" s="11" t="s">
        <v>302</v>
      </c>
      <c r="B47" s="11" t="s">
        <v>303</v>
      </c>
      <c r="C47" s="25">
        <v>-4370245</v>
      </c>
      <c r="D47" s="90" t="s">
        <v>519</v>
      </c>
      <c r="E47" s="25">
        <v>-4370245</v>
      </c>
    </row>
    <row r="48" spans="1:5" ht="16.05" customHeight="1" x14ac:dyDescent="0.25">
      <c r="A48" s="11" t="s">
        <v>304</v>
      </c>
      <c r="B48" s="11" t="s">
        <v>305</v>
      </c>
      <c r="C48" s="25">
        <v>-2541378</v>
      </c>
      <c r="D48" s="90" t="s">
        <v>519</v>
      </c>
      <c r="E48" s="25">
        <v>-2541378</v>
      </c>
    </row>
    <row r="49" spans="1:5" ht="16.05" customHeight="1" x14ac:dyDescent="0.25">
      <c r="A49" s="11" t="s">
        <v>306</v>
      </c>
      <c r="B49" s="11" t="s">
        <v>307</v>
      </c>
      <c r="C49" s="25">
        <v>1966610</v>
      </c>
      <c r="D49" s="90" t="s">
        <v>519</v>
      </c>
      <c r="E49" s="25">
        <v>1966610</v>
      </c>
    </row>
    <row r="50" spans="1:5" ht="16.05" customHeight="1" x14ac:dyDescent="0.25">
      <c r="A50" s="11" t="s">
        <v>308</v>
      </c>
      <c r="B50" s="11" t="s">
        <v>309</v>
      </c>
      <c r="C50" s="25">
        <v>914965</v>
      </c>
      <c r="D50" s="90" t="s">
        <v>519</v>
      </c>
      <c r="E50" s="25">
        <v>914965</v>
      </c>
    </row>
    <row r="51" spans="1:5" ht="16.05" customHeight="1" x14ac:dyDescent="0.25">
      <c r="A51" s="11" t="s">
        <v>310</v>
      </c>
      <c r="B51" s="11" t="s">
        <v>311</v>
      </c>
      <c r="C51" s="25">
        <v>0</v>
      </c>
      <c r="D51" s="90" t="s">
        <v>519</v>
      </c>
      <c r="E51" s="25">
        <v>0</v>
      </c>
    </row>
    <row r="52" spans="1:5" ht="16.05" customHeight="1" x14ac:dyDescent="0.25">
      <c r="A52" s="11" t="s">
        <v>312</v>
      </c>
      <c r="B52" s="11" t="s">
        <v>61</v>
      </c>
      <c r="C52" s="25">
        <v>24000</v>
      </c>
      <c r="D52" s="90" t="s">
        <v>519</v>
      </c>
      <c r="E52" s="25">
        <v>24000</v>
      </c>
    </row>
    <row r="53" spans="1:5" ht="16.05" customHeight="1" x14ac:dyDescent="0.25">
      <c r="A53" s="11" t="s">
        <v>313</v>
      </c>
      <c r="B53" s="11" t="s">
        <v>34</v>
      </c>
      <c r="C53" s="25">
        <v>143644</v>
      </c>
      <c r="D53" s="90" t="s">
        <v>519</v>
      </c>
      <c r="E53" s="25">
        <v>143644</v>
      </c>
    </row>
    <row r="54" spans="1:5" ht="16.05" customHeight="1" x14ac:dyDescent="0.25">
      <c r="A54" s="11" t="s">
        <v>314</v>
      </c>
      <c r="B54" s="11" t="s">
        <v>62</v>
      </c>
      <c r="C54" s="25">
        <v>1180</v>
      </c>
      <c r="D54" s="90" t="s">
        <v>519</v>
      </c>
      <c r="E54" s="25">
        <v>1180</v>
      </c>
    </row>
    <row r="55" spans="1:5" ht="16.05" customHeight="1" x14ac:dyDescent="0.25">
      <c r="A55" s="11" t="s">
        <v>315</v>
      </c>
      <c r="B55" s="11" t="s">
        <v>63</v>
      </c>
      <c r="C55" s="25">
        <v>27850</v>
      </c>
      <c r="D55" s="90" t="s">
        <v>519</v>
      </c>
      <c r="E55" s="25">
        <v>27850</v>
      </c>
    </row>
    <row r="56" spans="1:5" ht="16.05" customHeight="1" x14ac:dyDescent="0.25">
      <c r="A56" s="11" t="s">
        <v>316</v>
      </c>
      <c r="B56" s="11" t="s">
        <v>64</v>
      </c>
      <c r="C56" s="25">
        <v>3477</v>
      </c>
      <c r="D56" s="90" t="s">
        <v>519</v>
      </c>
      <c r="E56" s="25">
        <v>3477</v>
      </c>
    </row>
    <row r="57" spans="1:5" ht="16.05" customHeight="1" x14ac:dyDescent="0.25">
      <c r="A57" s="11" t="s">
        <v>317</v>
      </c>
      <c r="B57" s="11" t="s">
        <v>65</v>
      </c>
      <c r="C57" s="25">
        <v>2500</v>
      </c>
      <c r="D57" s="90" t="s">
        <v>519</v>
      </c>
      <c r="E57" s="25">
        <v>2500</v>
      </c>
    </row>
    <row r="58" spans="1:5" ht="16.05" customHeight="1" x14ac:dyDescent="0.25">
      <c r="A58" s="11" t="s">
        <v>318</v>
      </c>
      <c r="B58" s="11" t="s">
        <v>66</v>
      </c>
      <c r="C58" s="25">
        <v>12420</v>
      </c>
      <c r="D58" s="90" t="s">
        <v>519</v>
      </c>
      <c r="E58" s="25">
        <v>12420</v>
      </c>
    </row>
    <row r="59" spans="1:5" ht="16.05" customHeight="1" x14ac:dyDescent="0.25">
      <c r="A59" s="11" t="s">
        <v>319</v>
      </c>
      <c r="B59" s="11" t="s">
        <v>67</v>
      </c>
      <c r="C59" s="25">
        <v>3840</v>
      </c>
      <c r="D59" s="90" t="s">
        <v>519</v>
      </c>
      <c r="E59" s="25">
        <v>3840</v>
      </c>
    </row>
    <row r="60" spans="1:5" ht="16.05" customHeight="1" x14ac:dyDescent="0.25">
      <c r="A60" s="11" t="s">
        <v>320</v>
      </c>
      <c r="B60" s="11" t="s">
        <v>68</v>
      </c>
      <c r="C60" s="25">
        <v>996</v>
      </c>
      <c r="D60" s="90" t="s">
        <v>519</v>
      </c>
      <c r="E60" s="25">
        <v>996</v>
      </c>
    </row>
    <row r="61" spans="1:5" ht="16.05" customHeight="1" x14ac:dyDescent="0.25">
      <c r="A61" s="11" t="s">
        <v>321</v>
      </c>
      <c r="B61" s="11" t="s">
        <v>69</v>
      </c>
      <c r="C61" s="25">
        <v>144000</v>
      </c>
      <c r="D61" s="90" t="s">
        <v>519</v>
      </c>
      <c r="E61" s="25">
        <v>144000</v>
      </c>
    </row>
    <row r="62" spans="1:5" ht="16.05" customHeight="1" x14ac:dyDescent="0.25">
      <c r="A62" s="11" t="s">
        <v>322</v>
      </c>
      <c r="B62" s="11" t="s">
        <v>70</v>
      </c>
      <c r="C62" s="25">
        <v>524</v>
      </c>
      <c r="D62" s="90" t="s">
        <v>519</v>
      </c>
      <c r="E62" s="25">
        <v>524</v>
      </c>
    </row>
    <row r="63" spans="1:5" ht="16.05" customHeight="1" x14ac:dyDescent="0.25">
      <c r="A63" s="11" t="s">
        <v>323</v>
      </c>
      <c r="B63" s="11" t="s">
        <v>71</v>
      </c>
      <c r="C63" s="25">
        <v>5652</v>
      </c>
      <c r="D63" s="90" t="s">
        <v>519</v>
      </c>
      <c r="E63" s="25">
        <v>5652</v>
      </c>
    </row>
    <row r="64" spans="1:5" ht="16.05" customHeight="1" x14ac:dyDescent="0.25">
      <c r="A64" s="11" t="s">
        <v>324</v>
      </c>
      <c r="B64" s="11" t="s">
        <v>72</v>
      </c>
      <c r="C64" s="25">
        <v>2491</v>
      </c>
      <c r="D64" s="90" t="s">
        <v>519</v>
      </c>
      <c r="E64" s="25">
        <v>2491</v>
      </c>
    </row>
    <row r="65" spans="1:5" ht="16.05" customHeight="1" x14ac:dyDescent="0.25">
      <c r="A65" s="11" t="s">
        <v>325</v>
      </c>
      <c r="B65" s="11" t="s">
        <v>73</v>
      </c>
      <c r="C65" s="25">
        <v>5200</v>
      </c>
      <c r="D65" s="90" t="s">
        <v>519</v>
      </c>
      <c r="E65" s="25">
        <v>5200</v>
      </c>
    </row>
    <row r="66" spans="1:5" ht="16.05" customHeight="1" x14ac:dyDescent="0.25">
      <c r="A66" s="11" t="s">
        <v>326</v>
      </c>
      <c r="B66" s="11" t="s">
        <v>74</v>
      </c>
      <c r="C66" s="25">
        <v>8867</v>
      </c>
      <c r="D66" s="90" t="s">
        <v>519</v>
      </c>
      <c r="E66" s="25">
        <v>8867</v>
      </c>
    </row>
    <row r="67" spans="1:5" ht="16.05" customHeight="1" x14ac:dyDescent="0.25">
      <c r="A67" s="11" t="s">
        <v>327</v>
      </c>
      <c r="B67" s="11" t="s">
        <v>75</v>
      </c>
      <c r="C67" s="25">
        <v>4043</v>
      </c>
      <c r="D67" s="90" t="s">
        <v>519</v>
      </c>
      <c r="E67" s="25">
        <v>4043</v>
      </c>
    </row>
    <row r="68" spans="1:5" ht="16.05" customHeight="1" x14ac:dyDescent="0.25">
      <c r="A68" s="11" t="s">
        <v>328</v>
      </c>
      <c r="B68" s="11" t="s">
        <v>76</v>
      </c>
      <c r="C68" s="25">
        <v>13705</v>
      </c>
      <c r="D68" s="90" t="s">
        <v>519</v>
      </c>
      <c r="E68" s="25">
        <v>13705</v>
      </c>
    </row>
    <row r="69" spans="1:5" ht="16.05" customHeight="1" x14ac:dyDescent="0.25">
      <c r="A69" s="11" t="s">
        <v>329</v>
      </c>
      <c r="B69" s="11" t="s">
        <v>77</v>
      </c>
      <c r="C69" s="25">
        <v>6540</v>
      </c>
      <c r="D69" s="90" t="s">
        <v>519</v>
      </c>
      <c r="E69" s="25">
        <v>6540</v>
      </c>
    </row>
    <row r="70" spans="1:5" ht="16.05" customHeight="1" x14ac:dyDescent="0.25">
      <c r="A70" s="11" t="s">
        <v>330</v>
      </c>
      <c r="B70" s="11" t="s">
        <v>331</v>
      </c>
      <c r="C70" s="25">
        <v>548600</v>
      </c>
      <c r="D70" s="90" t="s">
        <v>519</v>
      </c>
      <c r="E70" s="25">
        <v>548600</v>
      </c>
    </row>
    <row r="71" spans="1:5" ht="16.05" customHeight="1" x14ac:dyDescent="0.25">
      <c r="A71" s="11" t="s">
        <v>332</v>
      </c>
      <c r="B71" s="11" t="s">
        <v>333</v>
      </c>
      <c r="C71" s="25">
        <v>685720</v>
      </c>
      <c r="D71" s="90" t="s">
        <v>519</v>
      </c>
      <c r="E71" s="25">
        <v>685720</v>
      </c>
    </row>
    <row r="72" spans="1:5" ht="16.05" customHeight="1" x14ac:dyDescent="0.25">
      <c r="A72" s="11" t="s">
        <v>334</v>
      </c>
      <c r="B72" s="11" t="s">
        <v>78</v>
      </c>
      <c r="C72" s="25">
        <v>513280</v>
      </c>
      <c r="D72" s="90" t="s">
        <v>519</v>
      </c>
      <c r="E72" s="25">
        <v>513280</v>
      </c>
    </row>
    <row r="73" spans="1:5" ht="16.05" customHeight="1" x14ac:dyDescent="0.25">
      <c r="A73" s="11" t="s">
        <v>335</v>
      </c>
      <c r="B73" s="11" t="s">
        <v>336</v>
      </c>
      <c r="C73" s="25">
        <v>104050</v>
      </c>
      <c r="D73" s="90" t="s">
        <v>519</v>
      </c>
      <c r="E73" s="25">
        <v>104050</v>
      </c>
    </row>
    <row r="74" spans="1:5" ht="16.05" customHeight="1" x14ac:dyDescent="0.25">
      <c r="A74" s="11" t="s">
        <v>337</v>
      </c>
      <c r="B74" s="11" t="s">
        <v>36</v>
      </c>
      <c r="C74" s="25">
        <v>194222</v>
      </c>
      <c r="D74" s="90" t="s">
        <v>519</v>
      </c>
      <c r="E74" s="25">
        <v>194222</v>
      </c>
    </row>
    <row r="75" spans="1:5" ht="16.05" customHeight="1" x14ac:dyDescent="0.25">
      <c r="A75" s="11" t="s">
        <v>338</v>
      </c>
      <c r="B75" s="11" t="s">
        <v>79</v>
      </c>
      <c r="C75" s="25">
        <v>442236</v>
      </c>
      <c r="D75" s="90" t="s">
        <v>519</v>
      </c>
      <c r="E75" s="25">
        <v>442236</v>
      </c>
    </row>
    <row r="76" spans="1:5" ht="16.05" customHeight="1" x14ac:dyDescent="0.25">
      <c r="A76" s="11" t="s">
        <v>339</v>
      </c>
      <c r="B76" s="11" t="s">
        <v>35</v>
      </c>
      <c r="C76" s="25">
        <v>125362</v>
      </c>
      <c r="D76" s="90" t="s">
        <v>519</v>
      </c>
      <c r="E76" s="25">
        <v>125362</v>
      </c>
    </row>
    <row r="77" spans="1:5" ht="16.05" customHeight="1" x14ac:dyDescent="0.25">
      <c r="A77" s="11" t="s">
        <v>340</v>
      </c>
      <c r="B77" s="11" t="s">
        <v>341</v>
      </c>
      <c r="C77" s="25">
        <v>6260</v>
      </c>
      <c r="D77" s="90" t="s">
        <v>519</v>
      </c>
      <c r="E77" s="25">
        <v>6260</v>
      </c>
    </row>
    <row r="78" spans="1:5" ht="16.05" customHeight="1" x14ac:dyDescent="0.25">
      <c r="A78" s="11" t="s">
        <v>342</v>
      </c>
      <c r="B78" s="11" t="s">
        <v>343</v>
      </c>
      <c r="C78" s="25">
        <v>0</v>
      </c>
      <c r="D78" s="90" t="s">
        <v>519</v>
      </c>
      <c r="E78" s="25">
        <v>0</v>
      </c>
    </row>
    <row r="79" spans="1:5" ht="16.05" customHeight="1" x14ac:dyDescent="0.25">
      <c r="A79" s="11" t="s">
        <v>344</v>
      </c>
      <c r="B79" s="11" t="s">
        <v>2</v>
      </c>
      <c r="C79" s="25">
        <v>-41850</v>
      </c>
      <c r="D79" s="90" t="s">
        <v>519</v>
      </c>
      <c r="E79" s="25">
        <v>-41850</v>
      </c>
    </row>
    <row r="80" spans="1:5" ht="16.05" customHeight="1" x14ac:dyDescent="0.25">
      <c r="A80" s="11" t="s">
        <v>345</v>
      </c>
      <c r="B80" s="11" t="s">
        <v>88</v>
      </c>
      <c r="C80" s="25">
        <v>-4065</v>
      </c>
      <c r="D80" s="90" t="s">
        <v>519</v>
      </c>
      <c r="E80" s="25">
        <v>-4065</v>
      </c>
    </row>
    <row r="81" spans="1:5" ht="16.05" customHeight="1" x14ac:dyDescent="0.25">
      <c r="A81" s="11" t="s">
        <v>346</v>
      </c>
      <c r="B81" s="11" t="s">
        <v>347</v>
      </c>
      <c r="C81" s="25">
        <v>-48250</v>
      </c>
      <c r="D81" s="90" t="s">
        <v>519</v>
      </c>
      <c r="E81" s="25">
        <v>-48250</v>
      </c>
    </row>
    <row r="82" spans="1:5" ht="16.05" customHeight="1" x14ac:dyDescent="0.25">
      <c r="A82" s="11" t="s">
        <v>348</v>
      </c>
      <c r="B82" s="11" t="s">
        <v>89</v>
      </c>
      <c r="C82" s="25">
        <v>-5100</v>
      </c>
      <c r="D82" s="90" t="s">
        <v>519</v>
      </c>
      <c r="E82" s="25">
        <v>-5100</v>
      </c>
    </row>
    <row r="83" spans="1:5" ht="16.05" customHeight="1" x14ac:dyDescent="0.25">
      <c r="A83" s="11" t="s">
        <v>349</v>
      </c>
      <c r="B83" s="11" t="s">
        <v>4</v>
      </c>
      <c r="C83" s="25">
        <v>150000</v>
      </c>
      <c r="D83" s="90" t="s">
        <v>519</v>
      </c>
      <c r="E83" s="25">
        <v>150000</v>
      </c>
    </row>
    <row r="84" spans="1:5" ht="16.05" customHeight="1" x14ac:dyDescent="0.25">
      <c r="A84" s="11" t="s">
        <v>350</v>
      </c>
      <c r="B84" s="11" t="s">
        <v>351</v>
      </c>
      <c r="C84" s="25">
        <v>276526</v>
      </c>
      <c r="D84" s="90" t="s">
        <v>519</v>
      </c>
      <c r="E84" s="25">
        <v>276526</v>
      </c>
    </row>
    <row r="85" spans="1:5" ht="16.05" customHeight="1" x14ac:dyDescent="0.25">
      <c r="A85" s="11" t="s">
        <v>352</v>
      </c>
      <c r="B85" s="11" t="s">
        <v>353</v>
      </c>
      <c r="C85" s="25">
        <v>40691</v>
      </c>
      <c r="D85" s="90" t="s">
        <v>519</v>
      </c>
      <c r="E85" s="25">
        <v>40691</v>
      </c>
    </row>
    <row r="86" spans="1:5" ht="16.05" customHeight="1" x14ac:dyDescent="0.25">
      <c r="A86" s="11" t="s">
        <v>354</v>
      </c>
      <c r="B86" s="11" t="s">
        <v>355</v>
      </c>
      <c r="C86" s="25">
        <v>9457</v>
      </c>
      <c r="D86" s="90" t="s">
        <v>519</v>
      </c>
      <c r="E86" s="25">
        <v>9457</v>
      </c>
    </row>
    <row r="87" spans="1:5" ht="16.05" customHeight="1" x14ac:dyDescent="0.25">
      <c r="A87" s="11" t="s">
        <v>356</v>
      </c>
      <c r="B87" s="11" t="s">
        <v>357</v>
      </c>
      <c r="C87" s="25">
        <v>1000</v>
      </c>
      <c r="D87" s="90" t="s">
        <v>519</v>
      </c>
      <c r="E87" s="25">
        <v>1000</v>
      </c>
    </row>
    <row r="88" spans="1:5" ht="16.05" customHeight="1" x14ac:dyDescent="0.25">
      <c r="A88" s="11" t="s">
        <v>358</v>
      </c>
      <c r="B88" s="11" t="s">
        <v>359</v>
      </c>
      <c r="C88" s="25">
        <v>0</v>
      </c>
      <c r="D88" s="90" t="s">
        <v>519</v>
      </c>
      <c r="E88" s="25">
        <v>0</v>
      </c>
    </row>
    <row r="89" spans="1:5" ht="16.05" customHeight="1" x14ac:dyDescent="0.25">
      <c r="A89" s="11" t="s">
        <v>360</v>
      </c>
      <c r="B89" s="11" t="s">
        <v>80</v>
      </c>
      <c r="C89" s="25">
        <v>245060</v>
      </c>
      <c r="D89" s="90" t="s">
        <v>519</v>
      </c>
      <c r="E89" s="25">
        <v>245060</v>
      </c>
    </row>
    <row r="90" spans="1:5" ht="16.05" customHeight="1" x14ac:dyDescent="0.25">
      <c r="A90" s="11" t="s">
        <v>361</v>
      </c>
      <c r="B90" s="11" t="s">
        <v>38</v>
      </c>
      <c r="C90" s="25">
        <v>568079</v>
      </c>
      <c r="D90" s="90" t="s">
        <v>519</v>
      </c>
      <c r="E90" s="25">
        <v>568079</v>
      </c>
    </row>
    <row r="91" spans="1:5" ht="16.05" customHeight="1" x14ac:dyDescent="0.25">
      <c r="A91" s="11" t="s">
        <v>362</v>
      </c>
      <c r="B91" s="11" t="s">
        <v>41</v>
      </c>
      <c r="C91" s="25">
        <v>-186802</v>
      </c>
      <c r="D91" s="90" t="s">
        <v>519</v>
      </c>
      <c r="E91" s="25">
        <v>-186802</v>
      </c>
    </row>
    <row r="92" spans="1:5" ht="16.05" customHeight="1" x14ac:dyDescent="0.25">
      <c r="A92" s="11" t="s">
        <v>363</v>
      </c>
      <c r="B92" s="11" t="s">
        <v>364</v>
      </c>
      <c r="C92" s="25">
        <v>-4239805</v>
      </c>
      <c r="D92" s="90" t="s">
        <v>519</v>
      </c>
      <c r="E92" s="25">
        <v>-4239805</v>
      </c>
    </row>
  </sheetData>
  <sheetProtection algorithmName="SHA-512" hashValue="7vGXSeMShCVBHxDxY1tiDeBlx6H4OTyLtyXtMWpMEAHdnC2Bwrj3S6a5ofti9V4nukaiU5N20yWaIyzOanBzSQ==" saltValue="P0UW8JVG7pd6iRaR1Cdo+A==" spinCount="100000" sheet="1" objects="1" scenarios="1"/>
  <conditionalFormatting sqref="D5:D92">
    <cfRule type="cellIs" dxfId="2" priority="4" stopIfTrue="1" operator="equal">
      <formula>"error!"</formula>
    </cfRule>
  </conditionalFormatting>
  <conditionalFormatting sqref="D3">
    <cfRule type="cellIs" dxfId="1" priority="3" stopIfTrue="1" operator="equal">
      <formula>"error!"</formula>
    </cfRule>
  </conditionalFormatting>
  <conditionalFormatting sqref="C3 E3">
    <cfRule type="expression" dxfId="0" priority="2" stopIfTrue="1">
      <formula>ROUND(C3,2)&lt;&gt;0</formula>
    </cfRule>
  </conditionalFormatting>
  <pageMargins left="0.55118110236220474" right="0.55118110236220474" top="0.55118110236220474" bottom="0.55118110236220474" header="0.39370078740157483" footer="0.39370078740157483"/>
  <pageSetup paperSize="57" scale="86" fitToHeight="0" orientation="portrait" r:id="rId1"/>
  <headerFooter>
    <oddFooter>&amp;C&amp;"-,Regular"&amp;9Page &amp;P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14</vt:i4>
      </vt:variant>
    </vt:vector>
  </HeadingPairs>
  <TitlesOfParts>
    <vt:vector size="25" baseType="lpstr">
      <vt:lpstr>About</vt:lpstr>
      <vt:lpstr>Instructions</vt:lpstr>
      <vt:lpstr>Setup</vt:lpstr>
      <vt:lpstr>Classes</vt:lpstr>
      <vt:lpstr>TB</vt:lpstr>
      <vt:lpstr>Sheet1</vt:lpstr>
      <vt:lpstr>IS</vt:lpstr>
      <vt:lpstr>CFS</vt:lpstr>
      <vt:lpstr>BS</vt:lpstr>
      <vt:lpstr>DB</vt:lpstr>
      <vt:lpstr>TBCheck</vt:lpstr>
      <vt:lpstr>BalRowNo</vt:lpstr>
      <vt:lpstr>CfsRowNo</vt:lpstr>
      <vt:lpstr>IncRowNo</vt:lpstr>
      <vt:lpstr>MonthNames</vt:lpstr>
      <vt:lpstr>BS!Print_Area</vt:lpstr>
      <vt:lpstr>CFS!Print_Area</vt:lpstr>
      <vt:lpstr>DB!Print_Area</vt:lpstr>
      <vt:lpstr>IS!Print_Area</vt:lpstr>
      <vt:lpstr>BS!Print_Titles</vt:lpstr>
      <vt:lpstr>CFS!Print_Titles</vt:lpstr>
      <vt:lpstr>Instructions!Print_Titles</vt:lpstr>
      <vt:lpstr>IS!Print_Titles</vt:lpstr>
      <vt:lpstr>TB!Print_Titles</vt:lpstr>
      <vt:lpstr>TBCheck!Print_Titles</vt:lpstr>
    </vt:vector>
  </TitlesOfParts>
  <Company>Excel Skills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Analysis Template - Excel Skills</dc:title>
  <dc:subject>Financial Statements</dc:subject>
  <dc:creator>Excel Skills Australia</dc:creator>
  <cp:keywords>fianancial analysis, financials</cp:keywords>
  <cp:lastModifiedBy>ibrahimkhalilova</cp:lastModifiedBy>
  <cp:lastPrinted>2020-10-17T13:19:59Z</cp:lastPrinted>
  <dcterms:created xsi:type="dcterms:W3CDTF">2009-09-28T11:29:56Z</dcterms:created>
  <dcterms:modified xsi:type="dcterms:W3CDTF">2024-11-25T20:09:07Z</dcterms:modified>
  <cp:category>Excel 2007+</cp:category>
  <cp:contentStatus>Version 1.0</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ae9982f3-967d-44d8-a196-28f91c31902a</vt:lpwstr>
  </property>
</Properties>
</file>